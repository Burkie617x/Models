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Brend\Downloads\"/>
    </mc:Choice>
  </mc:AlternateContent>
  <xr:revisionPtr revIDLastSave="0" documentId="13_ncr:1_{0D19CC53-EA98-470F-8A90-C4CB550CA03F}" xr6:coauthVersionLast="47" xr6:coauthVersionMax="47" xr10:uidLastSave="{00000000-0000-0000-0000-000000000000}"/>
  <bookViews>
    <workbookView xWindow="-109" yWindow="-109" windowWidth="26301" windowHeight="14169" xr2:uid="{0BC10E2D-7587-4474-BCE1-8D0287E6BC76}"/>
  </bookViews>
  <sheets>
    <sheet name="BS Model" sheetId="1" r:id="rId1"/>
  </sheets>
  <functionGroups builtInGroupCount="19"/>
  <definedNames>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1" l="1" a="1"/>
  <c r="H1" i="1" s="1"/>
  <c r="G1" i="1" a="1"/>
  <c r="G1" i="1" s="1"/>
  <c r="C2" i="1" s="1"/>
  <c r="M252" i="1" a="1"/>
  <c r="O254" i="1" l="1"/>
  <c r="O264" i="1"/>
  <c r="O274" i="1"/>
  <c r="O284" i="1"/>
  <c r="O294" i="1"/>
  <c r="O304" i="1"/>
  <c r="O314" i="1"/>
  <c r="O324" i="1"/>
  <c r="O334" i="1"/>
  <c r="O344" i="1"/>
  <c r="O354" i="1"/>
  <c r="O364" i="1"/>
  <c r="O374" i="1"/>
  <c r="O384" i="1"/>
  <c r="O394" i="1"/>
  <c r="O404" i="1"/>
  <c r="O414" i="1"/>
  <c r="O424" i="1"/>
  <c r="O434" i="1"/>
  <c r="O444" i="1"/>
  <c r="O454" i="1"/>
  <c r="O464" i="1"/>
  <c r="O474" i="1"/>
  <c r="O484" i="1"/>
  <c r="O494" i="1"/>
  <c r="O255" i="1"/>
  <c r="O265" i="1"/>
  <c r="O275" i="1"/>
  <c r="O285" i="1"/>
  <c r="O295" i="1"/>
  <c r="O305" i="1"/>
  <c r="O315" i="1"/>
  <c r="O325" i="1"/>
  <c r="O335" i="1"/>
  <c r="O345" i="1"/>
  <c r="O355" i="1"/>
  <c r="O365" i="1"/>
  <c r="O375" i="1"/>
  <c r="O385" i="1"/>
  <c r="O395" i="1"/>
  <c r="O405" i="1"/>
  <c r="O415" i="1"/>
  <c r="O425" i="1"/>
  <c r="O435" i="1"/>
  <c r="O445" i="1"/>
  <c r="O455" i="1"/>
  <c r="O465" i="1"/>
  <c r="O475" i="1"/>
  <c r="O485" i="1"/>
  <c r="O495" i="1"/>
  <c r="O266" i="1"/>
  <c r="O276" i="1"/>
  <c r="O286" i="1"/>
  <c r="O296" i="1"/>
  <c r="O306" i="1"/>
  <c r="O316" i="1"/>
  <c r="O326" i="1"/>
  <c r="O336" i="1"/>
  <c r="O346" i="1"/>
  <c r="O356" i="1"/>
  <c r="O366" i="1"/>
  <c r="O376" i="1"/>
  <c r="O386" i="1"/>
  <c r="O396" i="1"/>
  <c r="O406" i="1"/>
  <c r="O416" i="1"/>
  <c r="O426" i="1"/>
  <c r="O436" i="1"/>
  <c r="O446" i="1"/>
  <c r="O456" i="1"/>
  <c r="O466" i="1"/>
  <c r="O476" i="1"/>
  <c r="O486" i="1"/>
  <c r="O496" i="1"/>
  <c r="O267" i="1"/>
  <c r="O277" i="1"/>
  <c r="O287" i="1"/>
  <c r="O297" i="1"/>
  <c r="O307" i="1"/>
  <c r="O317" i="1"/>
  <c r="O327" i="1"/>
  <c r="O337" i="1"/>
  <c r="O347" i="1"/>
  <c r="O357" i="1"/>
  <c r="O367" i="1"/>
  <c r="O387" i="1"/>
  <c r="O397" i="1"/>
  <c r="O407" i="1"/>
  <c r="O417" i="1"/>
  <c r="O427" i="1"/>
  <c r="O437" i="1"/>
  <c r="O457" i="1"/>
  <c r="O467" i="1"/>
  <c r="O477" i="1"/>
  <c r="O487" i="1"/>
  <c r="O268" i="1"/>
  <c r="O298" i="1"/>
  <c r="O308" i="1"/>
  <c r="O328" i="1"/>
  <c r="O348" i="1"/>
  <c r="O368" i="1"/>
  <c r="O398" i="1"/>
  <c r="O408" i="1"/>
  <c r="O428" i="1"/>
  <c r="O438" i="1"/>
  <c r="O468" i="1"/>
  <c r="O478" i="1"/>
  <c r="O498" i="1"/>
  <c r="O269" i="1"/>
  <c r="O309" i="1"/>
  <c r="O256" i="1"/>
  <c r="O377" i="1"/>
  <c r="O447" i="1"/>
  <c r="O497" i="1"/>
  <c r="O278" i="1"/>
  <c r="O318" i="1"/>
  <c r="O358" i="1"/>
  <c r="O388" i="1"/>
  <c r="O418" i="1"/>
  <c r="O458" i="1"/>
  <c r="O279" i="1"/>
  <c r="O257" i="1"/>
  <c r="O488" i="1"/>
  <c r="O299" i="1"/>
  <c r="O258" i="1"/>
  <c r="O288" i="1"/>
  <c r="O338" i="1"/>
  <c r="O378" i="1"/>
  <c r="O448" i="1"/>
  <c r="O259" i="1"/>
  <c r="O260" i="1"/>
  <c r="O261" i="1"/>
  <c r="O283" i="1"/>
  <c r="O310" i="1"/>
  <c r="O330" i="1"/>
  <c r="O350" i="1"/>
  <c r="O370" i="1"/>
  <c r="O390" i="1"/>
  <c r="O410" i="1"/>
  <c r="O430" i="1"/>
  <c r="O450" i="1"/>
  <c r="O470" i="1"/>
  <c r="O490" i="1"/>
  <c r="O292" i="1"/>
  <c r="O319" i="1"/>
  <c r="O379" i="1"/>
  <c r="O439" i="1"/>
  <c r="O343" i="1"/>
  <c r="O403" i="1"/>
  <c r="O303" i="1"/>
  <c r="O469" i="1"/>
  <c r="O262" i="1"/>
  <c r="O289" i="1"/>
  <c r="O311" i="1"/>
  <c r="O331" i="1"/>
  <c r="O351" i="1"/>
  <c r="O371" i="1"/>
  <c r="O391" i="1"/>
  <c r="O411" i="1"/>
  <c r="O431" i="1"/>
  <c r="O451" i="1"/>
  <c r="O471" i="1"/>
  <c r="O491" i="1"/>
  <c r="O263" i="1"/>
  <c r="O290" i="1"/>
  <c r="O312" i="1"/>
  <c r="O332" i="1"/>
  <c r="O352" i="1"/>
  <c r="O372" i="1"/>
  <c r="O392" i="1"/>
  <c r="O412" i="1"/>
  <c r="O432" i="1"/>
  <c r="O452" i="1"/>
  <c r="O472" i="1"/>
  <c r="O492" i="1"/>
  <c r="O373" i="1"/>
  <c r="O393" i="1"/>
  <c r="O413" i="1"/>
  <c r="O453" i="1"/>
  <c r="O473" i="1"/>
  <c r="O493" i="1"/>
  <c r="O271" i="1"/>
  <c r="O359" i="1"/>
  <c r="O399" i="1"/>
  <c r="O459" i="1"/>
  <c r="O499" i="1"/>
  <c r="O383" i="1"/>
  <c r="O483" i="1"/>
  <c r="O329" i="1"/>
  <c r="O270" i="1"/>
  <c r="O291" i="1"/>
  <c r="O313" i="1"/>
  <c r="O333" i="1"/>
  <c r="O353" i="1"/>
  <c r="O433" i="1"/>
  <c r="O339" i="1"/>
  <c r="O419" i="1"/>
  <c r="O479" i="1"/>
  <c r="O363" i="1"/>
  <c r="O423" i="1"/>
  <c r="O349" i="1"/>
  <c r="O449" i="1"/>
  <c r="O272" i="1"/>
  <c r="O293" i="1"/>
  <c r="O320" i="1"/>
  <c r="O340" i="1"/>
  <c r="O360" i="1"/>
  <c r="O380" i="1"/>
  <c r="O400" i="1"/>
  <c r="O420" i="1"/>
  <c r="O440" i="1"/>
  <c r="O460" i="1"/>
  <c r="O480" i="1"/>
  <c r="O500" i="1"/>
  <c r="O300" i="1"/>
  <c r="O321" i="1"/>
  <c r="O341" i="1"/>
  <c r="O361" i="1"/>
  <c r="O381" i="1"/>
  <c r="O421" i="1"/>
  <c r="O441" i="1"/>
  <c r="O461" i="1"/>
  <c r="O382" i="1"/>
  <c r="O442" i="1"/>
  <c r="O482" i="1"/>
  <c r="O302" i="1"/>
  <c r="O443" i="1"/>
  <c r="O389" i="1"/>
  <c r="O489" i="1"/>
  <c r="O273" i="1"/>
  <c r="O401" i="1"/>
  <c r="O481" i="1"/>
  <c r="O422" i="1"/>
  <c r="O281" i="1"/>
  <c r="O463" i="1"/>
  <c r="O409" i="1"/>
  <c r="O280" i="1"/>
  <c r="O301" i="1"/>
  <c r="O322" i="1"/>
  <c r="O342" i="1"/>
  <c r="O362" i="1"/>
  <c r="O402" i="1"/>
  <c r="O462" i="1"/>
  <c r="O323" i="1"/>
  <c r="O369" i="1"/>
  <c r="O429" i="1"/>
  <c r="O282" i="1"/>
  <c r="O253" i="1"/>
  <c r="M252" i="1"/>
  <c r="C5" i="1" l="1"/>
  <c r="D58" i="1" a="1"/>
  <c r="D80" i="1" a="1"/>
  <c r="E78" i="1" a="1"/>
  <c r="H102" i="1" a="1"/>
  <c r="F38" i="1" a="1"/>
  <c r="C132" i="1" a="1"/>
  <c r="D151" i="1" a="1"/>
  <c r="E79" i="1" a="1"/>
  <c r="F60" i="1" a="1"/>
  <c r="F21" i="1" a="1"/>
  <c r="C32" i="1" a="1"/>
  <c r="C124" i="1" a="1"/>
  <c r="E73" i="1" a="1"/>
  <c r="F104" i="1" a="1"/>
  <c r="F169" i="1" a="1"/>
  <c r="G62" i="1" a="1"/>
  <c r="D90" i="1" a="1"/>
  <c r="D139" i="1" a="1"/>
  <c r="G123" i="1" a="1"/>
  <c r="H73" i="1" a="1"/>
  <c r="G69" i="1" a="1"/>
  <c r="C170" i="1" a="1"/>
  <c r="D100" i="1" a="1"/>
  <c r="E29" i="1" a="1"/>
  <c r="F23" i="1" a="1"/>
  <c r="G157" i="1" a="1"/>
  <c r="D142" i="1" a="1"/>
  <c r="C50" i="1" a="1"/>
  <c r="F43" i="1" a="1"/>
  <c r="G42" i="1" a="1"/>
  <c r="G132" i="1" a="1"/>
  <c r="D132" i="1" a="1"/>
  <c r="C63" i="1" a="1"/>
  <c r="C150" i="1" a="1"/>
  <c r="F42" i="1" a="1"/>
  <c r="F83" i="1" a="1"/>
  <c r="H126" i="1" a="1"/>
  <c r="I159" i="1" a="1"/>
  <c r="I173" i="1" a="1"/>
  <c r="E147" i="1" a="1"/>
  <c r="D113" i="1" a="1"/>
  <c r="C38" i="1" a="1"/>
  <c r="G101" i="1" a="1"/>
  <c r="G133" i="1" a="1"/>
  <c r="H160" i="1" a="1"/>
  <c r="J15" i="1" a="1"/>
  <c r="F20" i="1" a="1"/>
  <c r="J71" i="1" a="1"/>
  <c r="H55" i="1" a="1"/>
  <c r="D78" i="1" a="1"/>
  <c r="G170" i="1" a="1"/>
  <c r="J58" i="1" a="1"/>
  <c r="H44" i="1" a="1"/>
  <c r="E156" i="1" a="1"/>
  <c r="G159" i="1" a="1"/>
  <c r="J47" i="1" a="1"/>
  <c r="C54" i="1" a="1"/>
  <c r="C141" i="1" a="1"/>
  <c r="E112" i="1" a="1"/>
  <c r="F141" i="1" a="1"/>
  <c r="E26" i="1" a="1"/>
  <c r="G96" i="1" a="1"/>
  <c r="C109" i="1" a="1"/>
  <c r="E164" i="1" a="1"/>
  <c r="F136" i="1" a="1"/>
  <c r="G114" i="1" a="1"/>
  <c r="G56" i="1" a="1"/>
  <c r="D97" i="1" a="1"/>
  <c r="C24" i="1" a="1"/>
  <c r="C83" i="1" a="1"/>
  <c r="G154" i="1" a="1"/>
  <c r="F58" i="1" a="1"/>
  <c r="I87" i="1" a="1"/>
  <c r="E138" i="1" a="1"/>
  <c r="E163" i="1" a="1"/>
  <c r="H162" i="1" a="1"/>
  <c r="F96" i="1" a="1"/>
  <c r="H67" i="1" a="1"/>
  <c r="C70" i="1" a="1"/>
  <c r="C140" i="1" a="1"/>
  <c r="F80" i="1" a="1"/>
  <c r="G43" i="1" a="1"/>
  <c r="H137" i="1" a="1"/>
  <c r="D71" i="1" a="1"/>
  <c r="D111" i="1" a="1"/>
  <c r="G88" i="1" a="1"/>
  <c r="I115" i="1" a="1"/>
  <c r="H174" i="1" a="1"/>
  <c r="D27" i="1" a="1"/>
  <c r="D124" i="1" a="1"/>
  <c r="C49" i="1" a="1"/>
  <c r="G108" i="1" a="1"/>
  <c r="G139" i="1" a="1"/>
  <c r="H171" i="1" a="1"/>
  <c r="I59" i="1" a="1"/>
  <c r="I73" i="1" a="1"/>
  <c r="C167" i="1" a="1"/>
  <c r="E151" i="1" a="1"/>
  <c r="D73" i="1" a="1"/>
  <c r="H45" i="1" a="1"/>
  <c r="H147" i="1" a="1"/>
  <c r="H60" i="1" a="1"/>
  <c r="H134" i="1" a="1"/>
  <c r="G70" i="1" a="1"/>
  <c r="L109" i="1" a="1"/>
  <c r="I116" i="1" a="1"/>
  <c r="H106" i="1" a="1"/>
  <c r="G59" i="1" a="1"/>
  <c r="H51" i="1" a="1"/>
  <c r="I105" i="1" a="1"/>
  <c r="J116" i="1" a="1"/>
  <c r="G48" i="1" a="1"/>
  <c r="H40" i="1" a="1"/>
  <c r="I94" i="1" a="1"/>
  <c r="E72" i="1" a="1"/>
  <c r="G31" i="1" a="1"/>
  <c r="H29" i="1" a="1"/>
  <c r="E43" i="1" a="1"/>
  <c r="J135" i="1" a="1"/>
  <c r="H30" i="1" a="1"/>
  <c r="H172" i="1" a="1"/>
  <c r="F79" i="1" a="1"/>
  <c r="G109" i="1" a="1"/>
  <c r="K124" i="1" a="1"/>
  <c r="C105" i="1" a="1"/>
  <c r="G38" i="1" a="1"/>
  <c r="J127" i="1" a="1"/>
  <c r="K169" i="1" a="1"/>
  <c r="L110" i="1" a="1"/>
  <c r="J18" i="1" a="1"/>
  <c r="H152" i="1" a="1"/>
  <c r="F37" i="1" a="1"/>
  <c r="E28" i="1" a="1"/>
  <c r="K79" i="1" a="1"/>
  <c r="K138" i="1" a="1"/>
  <c r="C75" i="1" a="1"/>
  <c r="J109" i="1" a="1"/>
  <c r="J60" i="1" a="1"/>
  <c r="K146" i="1" a="1"/>
  <c r="J54" i="1" a="1"/>
  <c r="L132" i="1" a="1"/>
  <c r="I167" i="1" a="1"/>
  <c r="K133" i="1" a="1"/>
  <c r="K110" i="1" a="1"/>
  <c r="J149" i="1" a="1"/>
  <c r="K24" i="1" a="1"/>
  <c r="K27" i="1" a="1"/>
  <c r="G28" i="1" a="1"/>
  <c r="L27" i="1" a="1"/>
  <c r="L71" i="1" a="1"/>
  <c r="I61" i="1" a="1"/>
  <c r="E50" i="1" a="1"/>
  <c r="K127" i="1" a="1"/>
  <c r="L66" i="1" a="1"/>
  <c r="H166" i="1" a="1"/>
  <c r="K52" i="1" a="1"/>
  <c r="H127" i="1" a="1"/>
  <c r="J13" i="1" a="1"/>
  <c r="G63" i="1" a="1"/>
  <c r="D54" i="1" a="1"/>
  <c r="C60" i="1" a="1"/>
  <c r="D115" i="1" a="1"/>
  <c r="C41" i="1" a="1"/>
  <c r="C172" i="1" a="1"/>
  <c r="G166" i="1" a="1"/>
  <c r="F71" i="1" a="1"/>
  <c r="H108" i="1" a="1"/>
  <c r="D170" i="1" a="1"/>
  <c r="C101" i="1" a="1"/>
  <c r="G161" i="1" a="1"/>
  <c r="H141" i="1" a="1"/>
  <c r="H68" i="1" a="1"/>
  <c r="E101" i="1" a="1"/>
  <c r="D88" i="1" a="1"/>
  <c r="D171" i="1" a="1"/>
  <c r="G66" i="1" a="1"/>
  <c r="G105" i="1" a="1"/>
  <c r="H132" i="1" a="1"/>
  <c r="C119" i="1" a="1"/>
  <c r="C163" i="1" a="1"/>
  <c r="J122" i="1" a="1"/>
  <c r="G127" i="1" a="1"/>
  <c r="E91" i="1" a="1"/>
  <c r="D131" i="1" a="1"/>
  <c r="C62" i="1" a="1"/>
  <c r="G136" i="1" a="1"/>
  <c r="I65" i="1" a="1"/>
  <c r="I148" i="1" a="1"/>
  <c r="E81" i="1" a="1"/>
  <c r="E114" i="1" a="1"/>
  <c r="H115" i="1" a="1"/>
  <c r="F34" i="1" a="1"/>
  <c r="H14" i="1" a="1"/>
  <c r="C162" i="1" a="1"/>
  <c r="E158" i="1" a="1"/>
  <c r="D110" i="1" a="1"/>
  <c r="H96" i="1" a="1"/>
  <c r="H157" i="1" a="1"/>
  <c r="H71" i="1" a="1"/>
  <c r="J86" i="1" a="1"/>
  <c r="J112" i="1" a="1"/>
  <c r="C72" i="1" a="1"/>
  <c r="C157" i="1" a="1"/>
  <c r="E93" i="1" a="1"/>
  <c r="E44" i="1" a="1"/>
  <c r="F144" i="1" a="1"/>
  <c r="I121" i="1" a="1"/>
  <c r="H25" i="1" a="1"/>
  <c r="H120" i="1" a="1"/>
  <c r="I112" i="1" a="1"/>
  <c r="I16" i="1" a="1"/>
  <c r="K153" i="1" a="1"/>
  <c r="H109" i="1" a="1"/>
  <c r="I101" i="1" a="1"/>
  <c r="J166" i="1" a="1"/>
  <c r="F152" i="1" a="1"/>
  <c r="H92" i="1" a="1"/>
  <c r="I90" i="1" a="1"/>
  <c r="J154" i="1" a="1"/>
  <c r="F90" i="1" a="1"/>
  <c r="H81" i="1" a="1"/>
  <c r="I79" i="1" a="1"/>
  <c r="D135" i="1" a="1"/>
  <c r="D109" i="1" a="1"/>
  <c r="I80" i="1" a="1"/>
  <c r="H50" i="1" a="1"/>
  <c r="F29" i="1" a="1"/>
  <c r="H159" i="1" a="1"/>
  <c r="I151" i="1" a="1"/>
  <c r="F154" i="1" a="1"/>
  <c r="I143" i="1" a="1"/>
  <c r="K126" i="1" a="1"/>
  <c r="G89" i="1" a="1"/>
  <c r="J49" i="1" a="1"/>
  <c r="K90" i="1" a="1"/>
  <c r="G135" i="1" a="1"/>
  <c r="G87" i="1" a="1"/>
  <c r="E58" i="1" a="1"/>
  <c r="L130" i="1" a="1"/>
  <c r="K30" i="1" a="1"/>
  <c r="G115" i="1" a="1"/>
  <c r="K69" i="1" a="1"/>
  <c r="K129" i="1" a="1"/>
  <c r="D141" i="1" a="1"/>
  <c r="J101" i="1" a="1"/>
  <c r="J52" i="1" a="1"/>
  <c r="K15" i="1" a="1"/>
  <c r="H27" i="1" a="1"/>
  <c r="L55" i="1" a="1"/>
  <c r="G67" i="1" a="1"/>
  <c r="L52" i="1" a="1"/>
  <c r="K113" i="1" a="1"/>
  <c r="I72" i="1" a="1"/>
  <c r="L174" i="1" a="1"/>
  <c r="H18" i="1" a="1"/>
  <c r="G55" i="1" a="1"/>
  <c r="H20" i="1" a="1"/>
  <c r="K17" i="1" a="1"/>
  <c r="L90" i="1" a="1"/>
  <c r="I127" i="1" a="1"/>
  <c r="L103" i="1" a="1"/>
  <c r="I88" i="1" a="1"/>
  <c r="H13" i="1" a="1"/>
  <c r="L169" i="1" a="1"/>
  <c r="G121" i="1" a="1"/>
  <c r="D30" i="1" a="1"/>
  <c r="G29" i="1" a="1"/>
  <c r="F108" i="1" a="1"/>
  <c r="H90" i="1" a="1"/>
  <c r="D159" i="1" a="1"/>
  <c r="G155" i="1" a="1"/>
  <c r="G52" i="1" a="1"/>
  <c r="G91" i="1" a="1"/>
  <c r="E121" i="1" a="1"/>
  <c r="H143" i="1" a="1"/>
  <c r="D66" i="1" a="1"/>
  <c r="D146" i="1" a="1"/>
  <c r="C77" i="1" a="1"/>
  <c r="G151" i="1" a="1"/>
  <c r="J63" i="1" a="1"/>
  <c r="C153" i="1" a="1"/>
  <c r="F168" i="1" a="1"/>
  <c r="I14" i="1" a="1"/>
  <c r="D60" i="1" a="1"/>
  <c r="I147" i="1" a="1"/>
  <c r="K78" i="1" a="1"/>
  <c r="L60" i="1" a="1"/>
  <c r="K135" i="1" a="1"/>
  <c r="E126" i="1" a="1"/>
  <c r="D107" i="1" a="1"/>
  <c r="C27" i="1" a="1"/>
  <c r="G94" i="1" a="1"/>
  <c r="G126" i="1" a="1"/>
  <c r="H149" i="1" a="1"/>
  <c r="D20" i="1" a="1"/>
  <c r="D162" i="1" a="1"/>
  <c r="H173" i="1" a="1"/>
  <c r="F171" i="1" a="1"/>
  <c r="E97" i="1" a="1"/>
  <c r="C100" i="1" a="1"/>
  <c r="E116" i="1" a="1"/>
  <c r="D21" i="1" a="1"/>
  <c r="I126" i="1" a="1"/>
  <c r="I104" i="1" a="1"/>
  <c r="H32" i="1" a="1"/>
  <c r="C19" i="1" a="1"/>
  <c r="D144" i="1" a="1"/>
  <c r="E167" i="1" a="1"/>
  <c r="G34" i="1" a="1"/>
  <c r="F124" i="1" a="1"/>
  <c r="E92" i="1" a="1"/>
  <c r="D123" i="1" a="1"/>
  <c r="H135" i="1" a="1"/>
  <c r="F146" i="1" a="1"/>
  <c r="E47" i="1" a="1"/>
  <c r="C86" i="1" a="1"/>
  <c r="C117" i="1" a="1"/>
  <c r="D95" i="1" a="1"/>
  <c r="G99" i="1" a="1"/>
  <c r="E52" i="1" a="1"/>
  <c r="C94" i="1" a="1"/>
  <c r="F145" i="1" a="1"/>
  <c r="E103" i="1" a="1"/>
  <c r="E61" i="1" a="1"/>
  <c r="F150" i="1" a="1"/>
  <c r="I132" i="1" a="1"/>
  <c r="K96" i="1" a="1"/>
  <c r="K134" i="1" a="1"/>
  <c r="C154" i="1" a="1"/>
  <c r="D168" i="1" a="1"/>
  <c r="E107" i="1" a="1"/>
  <c r="F97" i="1" a="1"/>
  <c r="F33" i="1" a="1"/>
  <c r="I21" i="1" a="1"/>
  <c r="F65" i="1" a="1"/>
  <c r="I170" i="1" a="1"/>
  <c r="J162" i="1" a="1"/>
  <c r="J98" i="1" a="1"/>
  <c r="F28" i="1" a="1"/>
  <c r="I153" i="1" a="1"/>
  <c r="J150" i="1" a="1"/>
  <c r="J88" i="1" a="1"/>
  <c r="G113" i="1" a="1"/>
  <c r="I142" i="1" a="1"/>
  <c r="J125" i="1" a="1"/>
  <c r="J78" i="1" a="1"/>
  <c r="G92" i="1" a="1"/>
  <c r="I131" i="1" a="1"/>
  <c r="J92" i="1" a="1"/>
  <c r="C145" i="1" a="1"/>
  <c r="D24" i="1" a="1"/>
  <c r="J113" i="1" a="1"/>
  <c r="I100" i="1" a="1"/>
  <c r="G65" i="1" a="1"/>
  <c r="H48" i="1" a="1"/>
  <c r="I40" i="1" a="1"/>
  <c r="C80" i="1" a="1"/>
  <c r="J64" i="1" a="1"/>
  <c r="I169" i="1" a="1"/>
  <c r="H139" i="1" a="1"/>
  <c r="K97" i="1" a="1"/>
  <c r="L151" i="1" a="1"/>
  <c r="G51" i="1" a="1"/>
  <c r="H142" i="1" a="1"/>
  <c r="K84" i="1" a="1"/>
  <c r="J66" i="1" a="1"/>
  <c r="L67" i="1" a="1"/>
  <c r="G138" i="1" a="1"/>
  <c r="L120" i="1" a="1"/>
  <c r="K20" i="1" a="1"/>
  <c r="F134" i="1" a="1"/>
  <c r="K59" i="1" a="1"/>
  <c r="K120" i="1" a="1"/>
  <c r="J77" i="1" a="1"/>
  <c r="I38" i="1" a="1"/>
  <c r="L165" i="1" a="1"/>
  <c r="I111" i="1" a="1"/>
  <c r="K23" i="1" a="1"/>
  <c r="K171" i="1" a="1"/>
  <c r="L62" i="1" a="1"/>
  <c r="L23" i="1" a="1"/>
  <c r="L140" i="1" a="1"/>
  <c r="I155" i="1" a="1"/>
  <c r="J105" i="1" a="1"/>
  <c r="L33" i="1" a="1"/>
  <c r="L35" i="1" a="1"/>
  <c r="J129" i="1" a="1"/>
  <c r="L172" i="1" a="1"/>
  <c r="J117" i="1" a="1"/>
  <c r="D13" i="1" a="1"/>
  <c r="K155" i="1" a="1"/>
  <c r="C34" i="1" a="1"/>
  <c r="J169" i="1" a="1"/>
  <c r="L88" i="1" a="1"/>
  <c r="C139" i="1" a="1"/>
  <c r="E137" i="1" a="1"/>
  <c r="D48" i="1" a="1"/>
  <c r="H26" i="1" a="1"/>
  <c r="H56" i="1" a="1"/>
  <c r="H49" i="1" a="1"/>
  <c r="C131" i="1" a="1"/>
  <c r="D50" i="1" a="1"/>
  <c r="H76" i="1" a="1"/>
  <c r="F66" i="1" a="1"/>
  <c r="F156" i="1" a="1"/>
  <c r="C22" i="1" a="1"/>
  <c r="C79" i="1" a="1"/>
  <c r="D35" i="1" a="1"/>
  <c r="F165" i="1" a="1"/>
  <c r="F125" i="1" a="1"/>
  <c r="C149" i="1" a="1"/>
  <c r="D32" i="1" a="1"/>
  <c r="D36" i="1" a="1"/>
  <c r="E39" i="1" a="1"/>
  <c r="I54" i="1" a="1"/>
  <c r="F19" i="1" a="1"/>
  <c r="C92" i="1" a="1"/>
  <c r="E149" i="1" a="1"/>
  <c r="J128" i="1" a="1"/>
  <c r="G171" i="1" a="1"/>
  <c r="F88" i="1" a="1"/>
  <c r="D147" i="1" a="1"/>
  <c r="D116" i="1" a="1"/>
  <c r="E128" i="1" a="1"/>
  <c r="H158" i="1" a="1"/>
  <c r="F106" i="1" a="1"/>
  <c r="C165" i="1" a="1"/>
  <c r="C18" i="1" a="1"/>
  <c r="E118" i="1" a="1"/>
  <c r="F103" i="1" a="1"/>
  <c r="F39" i="1" a="1"/>
  <c r="I32" i="1" a="1"/>
  <c r="I64" i="1" a="1"/>
  <c r="I134" i="1" a="1"/>
  <c r="C126" i="1" a="1"/>
  <c r="D31" i="1" a="1"/>
  <c r="F161" i="1" a="1"/>
  <c r="G147" i="1" a="1"/>
  <c r="G77" i="1" a="1"/>
  <c r="K166" i="1" a="1"/>
  <c r="F46" i="1" a="1"/>
  <c r="I53" i="1" a="1"/>
  <c r="K172" i="1" a="1"/>
  <c r="K143" i="1" a="1"/>
  <c r="G145" i="1" a="1"/>
  <c r="I42" i="1" a="1"/>
  <c r="K148" i="1" a="1"/>
  <c r="K132" i="1" a="1"/>
  <c r="G57" i="1" a="1"/>
  <c r="I31" i="1" a="1"/>
  <c r="K123" i="1" a="1"/>
  <c r="K118" i="1" a="1"/>
  <c r="H167" i="1" a="1"/>
  <c r="I20" i="1" a="1"/>
  <c r="K106" i="1" a="1"/>
  <c r="D105" i="1" a="1"/>
  <c r="E130" i="1" a="1"/>
  <c r="K111" i="1" a="1"/>
  <c r="J155" i="1" a="1"/>
  <c r="J159" i="1" a="1"/>
  <c r="I103" i="1" a="1"/>
  <c r="J57" i="1" a="1"/>
  <c r="D25" i="1" a="1"/>
  <c r="D84" i="1" a="1"/>
  <c r="I63" i="1" a="1"/>
  <c r="H28" i="1" a="1"/>
  <c r="L158" i="1" a="1"/>
  <c r="L91" i="1" a="1"/>
  <c r="H23" i="1" a="1"/>
  <c r="H31" i="1" a="1"/>
  <c r="F87" i="1" a="1"/>
  <c r="K87" i="1" a="1"/>
  <c r="L51" i="1" a="1"/>
  <c r="D74" i="1" a="1"/>
  <c r="J41" i="1" a="1"/>
  <c r="L42" i="1" a="1"/>
  <c r="H53" i="1" a="1"/>
  <c r="L100" i="1" a="1"/>
  <c r="L171" i="1" a="1"/>
  <c r="L39" i="1" a="1"/>
  <c r="J42" i="1" a="1"/>
  <c r="L121" i="1" a="1"/>
  <c r="K121" i="1" a="1"/>
  <c r="L48" i="1" a="1"/>
  <c r="I70" i="1" a="1"/>
  <c r="I166" i="1" a="1"/>
  <c r="L133" i="1" a="1"/>
  <c r="L134" i="1" a="1"/>
  <c r="K156" i="1" a="1"/>
  <c r="H85" i="1" a="1"/>
  <c r="L127" i="1" a="1"/>
  <c r="L54" i="1" a="1"/>
  <c r="K85" i="1" a="1"/>
  <c r="L18" i="1" a="1"/>
  <c r="G13" i="1" a="1"/>
  <c r="E166" i="1" a="1"/>
  <c r="J90" i="1" a="1"/>
  <c r="L56" i="1" a="1"/>
  <c r="C61" i="1" a="1"/>
  <c r="C96" i="1" a="1"/>
  <c r="F160" i="1" a="1"/>
  <c r="E33" i="1" a="1"/>
  <c r="F138" i="1" a="1"/>
  <c r="I110" i="1" a="1"/>
  <c r="C31" i="1" a="1"/>
  <c r="C169" i="1" a="1"/>
  <c r="F111" i="1" a="1"/>
  <c r="G93" i="1" a="1"/>
  <c r="F51" i="1" a="1"/>
  <c r="C115" i="1" a="1"/>
  <c r="D140" i="1" a="1"/>
  <c r="E68" i="1" a="1"/>
  <c r="F54" i="1" a="1"/>
  <c r="F14" i="1" a="1"/>
  <c r="C21" i="1" a="1"/>
  <c r="C113" i="1" a="1"/>
  <c r="E62" i="1" a="1"/>
  <c r="F85" i="1" a="1"/>
  <c r="F163" i="1" a="1"/>
  <c r="G54" i="1" a="1"/>
  <c r="D153" i="1" a="1"/>
  <c r="C56" i="1" a="1"/>
  <c r="F49" i="1" a="1"/>
  <c r="G58" i="1" a="1"/>
  <c r="C121" i="1" a="1"/>
  <c r="E144" i="1" a="1"/>
  <c r="E162" i="1" a="1"/>
  <c r="F172" i="1" a="1"/>
  <c r="K130" i="1" a="1"/>
  <c r="G162" i="1" a="1"/>
  <c r="C137" i="1" a="1"/>
  <c r="D51" i="1" a="1"/>
  <c r="F167" i="1" a="1"/>
  <c r="G153" i="1" a="1"/>
  <c r="G84" i="1" a="1"/>
  <c r="J17" i="1" a="1"/>
  <c r="J139" i="1" a="1"/>
  <c r="I34" i="1" a="1"/>
  <c r="C26" i="1" a="1"/>
  <c r="C123" i="1" a="1"/>
  <c r="F56" i="1" a="1"/>
  <c r="H169" i="1" a="1"/>
  <c r="H91" i="1" a="1"/>
  <c r="D99" i="1" a="1"/>
  <c r="H165" i="1" a="1"/>
  <c r="J50" i="1" a="1"/>
  <c r="I145" i="1" a="1"/>
  <c r="J84" i="1" a="1"/>
  <c r="H119" i="1" a="1"/>
  <c r="J38" i="1" a="1"/>
  <c r="I128" i="1" a="1"/>
  <c r="J76" i="1" a="1"/>
  <c r="H15" i="1" a="1"/>
  <c r="J14" i="1" a="1"/>
  <c r="I117" i="1" a="1"/>
  <c r="J59" i="1" a="1"/>
  <c r="J147" i="1" a="1"/>
  <c r="K164" i="1" a="1"/>
  <c r="I106" i="1" a="1"/>
  <c r="C107" i="1" a="1"/>
  <c r="E75" i="1" a="1"/>
  <c r="I174" i="1" a="1"/>
  <c r="K168" i="1" a="1"/>
  <c r="F113" i="1" a="1"/>
  <c r="J140" i="1" a="1"/>
  <c r="L99" i="1" a="1"/>
  <c r="C45" i="1" a="1"/>
  <c r="D14" i="1" a="1"/>
  <c r="J94" i="1" a="1"/>
  <c r="I83" i="1" a="1"/>
  <c r="K76" i="1" a="1"/>
  <c r="L41" i="1" a="1"/>
  <c r="F157" i="1" a="1"/>
  <c r="I81" i="1" a="1"/>
  <c r="J170" i="1" a="1"/>
  <c r="L138" i="1" a="1"/>
  <c r="L75" i="1" a="1"/>
  <c r="F26" i="1" a="1"/>
  <c r="K77" i="1" a="1"/>
  <c r="L46" i="1" a="1"/>
  <c r="D29" i="1" a="1"/>
  <c r="J24" i="1" a="1"/>
  <c r="L17" i="1" a="1"/>
  <c r="E54" i="1" a="1"/>
  <c r="J51" i="1" a="1"/>
  <c r="J29" i="1" a="1"/>
  <c r="H16" i="1" a="1"/>
  <c r="L143" i="1" a="1"/>
  <c r="K107" i="1" a="1"/>
  <c r="J148" i="1" a="1"/>
  <c r="K51" i="1" a="1"/>
  <c r="L80" i="1" a="1"/>
  <c r="L170" i="1" a="1"/>
  <c r="K92" i="1" a="1"/>
  <c r="K35" i="1" a="1"/>
  <c r="F55" i="1" a="1"/>
  <c r="K137" i="1" a="1"/>
  <c r="K154" i="1" a="1"/>
  <c r="J74" i="1" a="1"/>
  <c r="E171" i="1" a="1"/>
  <c r="D47" i="1" a="1"/>
  <c r="I25" i="1" a="1"/>
  <c r="G174" i="1" a="1"/>
  <c r="K144" i="1" a="1"/>
  <c r="L84" i="1" a="1"/>
  <c r="J26" i="1" a="1"/>
  <c r="C143" i="1" a="1"/>
  <c r="D157" i="1" a="1"/>
  <c r="E96" i="1" a="1"/>
  <c r="F91" i="1" a="1"/>
  <c r="F27" i="1" a="1"/>
  <c r="J171" i="1" a="1"/>
  <c r="D102" i="1" a="1"/>
  <c r="D161" i="1" a="1"/>
  <c r="G167" i="1" a="1"/>
  <c r="H95" i="1" a="1"/>
  <c r="G83" i="1" a="1"/>
  <c r="C98" i="1" a="1"/>
  <c r="E143" i="1" a="1"/>
  <c r="F105" i="1" a="1"/>
  <c r="G86" i="1" a="1"/>
  <c r="G40" i="1" a="1"/>
  <c r="D91" i="1" a="1"/>
  <c r="D174" i="1" a="1"/>
  <c r="D155" i="1" a="1"/>
  <c r="G141" i="1" a="1"/>
  <c r="F52" i="1" a="1"/>
  <c r="J134" i="1" a="1"/>
  <c r="D77" i="1" a="1"/>
  <c r="D117" i="1" a="1"/>
  <c r="G95" i="1" a="1"/>
  <c r="I158" i="1" a="1"/>
  <c r="D154" i="1" a="1"/>
  <c r="C85" i="1" a="1"/>
  <c r="C174" i="1" a="1"/>
  <c r="F67" i="1" a="1"/>
  <c r="F95" i="1" a="1"/>
  <c r="G30" i="1" a="1"/>
  <c r="C37" i="1" a="1"/>
  <c r="C134" i="1" a="1"/>
  <c r="F62" i="1" a="1"/>
  <c r="G18" i="1" a="1"/>
  <c r="H101" i="1" a="1"/>
  <c r="D104" i="1" a="1"/>
  <c r="K174" i="1" a="1"/>
  <c r="J118" i="1" a="1"/>
  <c r="D41" i="1" a="1"/>
  <c r="C23" i="1" a="1"/>
  <c r="G68" i="1" a="1"/>
  <c r="E27" i="1" a="1"/>
  <c r="K98" i="1" a="1"/>
  <c r="D49" i="1" a="1"/>
  <c r="G118" i="1" a="1"/>
  <c r="I136" i="1" a="1"/>
  <c r="I28" i="1" a="1"/>
  <c r="K119" i="1" a="1"/>
  <c r="G47" i="1" a="1"/>
  <c r="I125" i="1" a="1"/>
  <c r="I17" i="1" a="1"/>
  <c r="K109" i="1" a="1"/>
  <c r="G23" i="1" a="1"/>
  <c r="I114" i="1" a="1"/>
  <c r="J167" i="1" a="1"/>
  <c r="K99" i="1" a="1"/>
  <c r="H164" i="1" a="1"/>
  <c r="I108" i="1" a="1"/>
  <c r="J156" i="1" a="1"/>
  <c r="F173" i="1" a="1"/>
  <c r="E20" i="1" a="1"/>
  <c r="I68" i="1" a="1"/>
  <c r="G44" i="1" a="1"/>
  <c r="F94" i="1" a="1"/>
  <c r="K128" i="1" a="1"/>
  <c r="I78" i="1" a="1"/>
  <c r="E104" i="1" a="1"/>
  <c r="E120" i="1" a="1"/>
  <c r="K58" i="1" a="1"/>
  <c r="J111" i="1" a="1"/>
  <c r="L137" i="1" a="1"/>
  <c r="L70" i="1" a="1"/>
  <c r="G163" i="1" a="1"/>
  <c r="J96" i="1" a="1"/>
  <c r="H41" i="1" a="1"/>
  <c r="K46" i="1" a="1"/>
  <c r="L15" i="1" a="1"/>
  <c r="J73" i="1" a="1"/>
  <c r="L128" i="1" a="1"/>
  <c r="L65" i="1" a="1"/>
  <c r="G131" i="1" a="1"/>
  <c r="K67" i="1" a="1"/>
  <c r="L36" i="1" a="1"/>
  <c r="G26" i="1" a="1"/>
  <c r="K39" i="1" a="1"/>
  <c r="L28" i="1" a="1"/>
  <c r="I27" i="1" a="1"/>
  <c r="K61" i="1" a="1"/>
  <c r="L162" i="1" a="1"/>
  <c r="K167" i="1" a="1"/>
  <c r="L102" i="1" a="1"/>
  <c r="D121" i="1" a="1"/>
  <c r="J114" i="1" a="1"/>
  <c r="J22" i="1" a="1"/>
  <c r="L78" i="1" a="1"/>
  <c r="J153" i="1" a="1"/>
  <c r="L150" i="1" a="1"/>
  <c r="K50" i="1" a="1"/>
  <c r="L107" i="1" a="1"/>
  <c r="F142" i="1" a="1"/>
  <c r="F40" i="1" a="1"/>
  <c r="G122" i="1" a="1"/>
  <c r="G82" i="1" a="1"/>
  <c r="H52" i="1" a="1"/>
  <c r="F78" i="1" a="1"/>
  <c r="D143" i="1" a="1"/>
  <c r="F81" i="1" a="1"/>
  <c r="F70" i="1" a="1"/>
  <c r="E60" i="1" a="1"/>
  <c r="G144" i="1" a="1"/>
  <c r="K36" i="1" a="1"/>
  <c r="E41" i="1" a="1"/>
  <c r="G15" i="1" a="1"/>
  <c r="K83" i="1" a="1"/>
  <c r="C120" i="1" a="1"/>
  <c r="C20" i="1" a="1"/>
  <c r="C112" i="1" a="1"/>
  <c r="F31" i="1" a="1"/>
  <c r="H151" i="1" a="1"/>
  <c r="H80" i="1" a="1"/>
  <c r="D94" i="1" a="1"/>
  <c r="C136" i="1" a="1"/>
  <c r="E34" i="1" a="1"/>
  <c r="I165" i="1" a="1"/>
  <c r="G158" i="1" a="1"/>
  <c r="E113" i="1" a="1"/>
  <c r="E174" i="1" a="1"/>
  <c r="D156" i="1" a="1"/>
  <c r="H163" i="1" a="1"/>
  <c r="F164" i="1" a="1"/>
  <c r="E86" i="1" a="1"/>
  <c r="C89" i="1" a="1"/>
  <c r="E98" i="1" a="1"/>
  <c r="E161" i="1" a="1"/>
  <c r="I15" i="1" a="1"/>
  <c r="I48" i="1" a="1"/>
  <c r="H21" i="1" a="1"/>
  <c r="C97" i="1" a="1"/>
  <c r="C173" i="1" a="1"/>
  <c r="D106" i="1" a="1"/>
  <c r="G106" i="1" a="1"/>
  <c r="C168" i="1" a="1"/>
  <c r="D38" i="1" a="1"/>
  <c r="D127" i="1" a="1"/>
  <c r="H114" i="1" a="1"/>
  <c r="G14" i="1" a="1"/>
  <c r="H88" i="1" a="1"/>
  <c r="C164" i="1" a="1"/>
  <c r="D87" i="1" a="1"/>
  <c r="H107" i="1" a="1"/>
  <c r="F84" i="1" a="1"/>
  <c r="F174" i="1" a="1"/>
  <c r="E165" i="1" a="1"/>
  <c r="I113" i="1" a="1"/>
  <c r="G100" i="1" a="1"/>
  <c r="C53" i="1" a="1"/>
  <c r="E51" i="1" a="1"/>
  <c r="F123" i="1" a="1"/>
  <c r="G134" i="1" a="1"/>
  <c r="F63" i="1" a="1"/>
  <c r="C93" i="1" a="1"/>
  <c r="L149" i="1" a="1"/>
  <c r="J95" i="1" a="1"/>
  <c r="K105" i="1" a="1"/>
  <c r="C148" i="1" a="1"/>
  <c r="G21" i="1" a="1"/>
  <c r="J85" i="1" a="1"/>
  <c r="K88" i="1" a="1"/>
  <c r="C76" i="1" a="1"/>
  <c r="H110" i="1" a="1"/>
  <c r="J62" i="1" a="1"/>
  <c r="K28" i="1" a="1"/>
  <c r="C48" i="1" a="1"/>
  <c r="H99" i="1" a="1"/>
  <c r="J48" i="1" a="1"/>
  <c r="D137" i="1" a="1"/>
  <c r="F166" i="1" a="1"/>
  <c r="G120" i="1" a="1"/>
  <c r="K159" i="1" a="1"/>
  <c r="C161" i="1" a="1"/>
  <c r="G46" i="1" a="1"/>
  <c r="J133" i="1" a="1"/>
  <c r="J21" i="1" a="1"/>
  <c r="F68" i="1" a="1"/>
  <c r="F159" i="1" a="1"/>
  <c r="I46" i="1" a="1"/>
  <c r="G22" i="1" a="1"/>
  <c r="L116" i="1" a="1"/>
  <c r="L44" i="1" a="1"/>
  <c r="E63" i="1" a="1"/>
  <c r="I47" i="1" a="1"/>
  <c r="I129" i="1" a="1"/>
  <c r="L166" i="1" a="1"/>
  <c r="K33" i="1" a="1"/>
  <c r="I24" i="1" a="1"/>
  <c r="L82" i="1" a="1"/>
  <c r="L29" i="1" a="1"/>
  <c r="I91" i="1" a="1"/>
  <c r="K26" i="1" a="1"/>
  <c r="L79" i="1" a="1"/>
  <c r="E160" i="1" a="1"/>
  <c r="J16" i="1" a="1"/>
  <c r="D93" i="1" a="1"/>
  <c r="J34" i="1" a="1"/>
  <c r="J35" i="1" a="1"/>
  <c r="J165" i="1" a="1"/>
  <c r="K19" i="1" a="1"/>
  <c r="K80" i="1" a="1"/>
  <c r="H82" i="1" a="1"/>
  <c r="L147" i="1" a="1"/>
  <c r="H128" i="1" a="1"/>
  <c r="K103" i="1" a="1"/>
  <c r="E25" i="1" a="1"/>
  <c r="K117" i="1" a="1"/>
  <c r="L61" i="1" a="1"/>
  <c r="K42" i="1" a="1"/>
  <c r="D53" i="1" a="1"/>
  <c r="J126" i="1" a="1"/>
  <c r="K49" i="1" a="1"/>
  <c r="L72" i="1" a="1"/>
  <c r="I133" i="1" a="1"/>
  <c r="J124" i="1" a="1"/>
  <c r="L144" i="1" a="1"/>
  <c r="H54" i="1" a="1"/>
  <c r="F30" i="1" a="1"/>
  <c r="L118" i="1" a="1"/>
  <c r="J160" i="1" a="1"/>
  <c r="D33" i="1" a="1"/>
  <c r="D173" i="1" a="1"/>
  <c r="G53" i="1" a="1"/>
  <c r="E16" i="1" a="1"/>
  <c r="E108" i="1" a="1"/>
  <c r="D44" i="1" a="1"/>
  <c r="C36" i="1" a="1"/>
  <c r="D172" i="1" a="1"/>
  <c r="D28" i="1" a="1"/>
  <c r="G49" i="1" a="1"/>
  <c r="F143" i="1" a="1"/>
  <c r="C125" i="1" a="1"/>
  <c r="D37" i="1" a="1"/>
  <c r="H64" i="1" a="1"/>
  <c r="F53" i="1" a="1"/>
  <c r="F131" i="1" a="1"/>
  <c r="C160" i="1" a="1"/>
  <c r="C68" i="1" a="1"/>
  <c r="D18" i="1" a="1"/>
  <c r="F140" i="1" a="1"/>
  <c r="F119" i="1" a="1"/>
  <c r="C110" i="1" a="1"/>
  <c r="D158" i="1" a="1"/>
  <c r="D122" i="1" a="1"/>
  <c r="E139" i="1" a="1"/>
  <c r="H168" i="1" a="1"/>
  <c r="C122" i="1" a="1"/>
  <c r="E66" i="1" a="1"/>
  <c r="E133" i="1" a="1"/>
  <c r="E83" i="1" a="1"/>
  <c r="K115" i="1" a="1"/>
  <c r="I149" i="1" a="1"/>
  <c r="C64" i="1" a="1"/>
  <c r="E76" i="1" a="1"/>
  <c r="F129" i="1" a="1"/>
  <c r="G140" i="1" a="1"/>
  <c r="F69" i="1" a="1"/>
  <c r="E115" i="1" a="1"/>
  <c r="J174" i="1" a="1"/>
  <c r="H161" i="1" a="1"/>
  <c r="D114" i="1" a="1"/>
  <c r="C17" i="1" a="1"/>
  <c r="F18" i="1" a="1"/>
  <c r="H113" i="1" a="1"/>
  <c r="G97" i="1" a="1"/>
  <c r="D164" i="1" a="1"/>
  <c r="I82" i="1" a="1"/>
  <c r="K68" i="1" a="1"/>
  <c r="G61" i="1" a="1"/>
  <c r="D136" i="1" a="1"/>
  <c r="I71" i="1" a="1"/>
  <c r="L129" i="1" a="1"/>
  <c r="G50" i="1" a="1"/>
  <c r="D83" i="1" a="1"/>
  <c r="I60" i="1" a="1"/>
  <c r="H69" i="1" a="1"/>
  <c r="G39" i="1" a="1"/>
  <c r="D65" i="1" a="1"/>
  <c r="I43" i="1" a="1"/>
  <c r="H58" i="1" a="1"/>
  <c r="E109" i="1" a="1"/>
  <c r="F116" i="1" a="1"/>
  <c r="H170" i="1" a="1"/>
  <c r="I162" i="1" a="1"/>
  <c r="E132" i="1" a="1"/>
  <c r="I160" i="1" a="1"/>
  <c r="K139" i="1" a="1"/>
  <c r="G111" i="1" a="1"/>
  <c r="G74" i="1" a="1"/>
  <c r="F48" i="1" a="1"/>
  <c r="J103" i="1" a="1"/>
  <c r="H83" i="1" a="1"/>
  <c r="K34" i="1" a="1"/>
  <c r="C127" i="1" a="1"/>
  <c r="H154" i="1" a="1"/>
  <c r="J121" i="1" a="1"/>
  <c r="I156" i="1" a="1"/>
  <c r="K74" i="1" a="1"/>
  <c r="J43" i="1" a="1"/>
  <c r="I123" i="1" a="1"/>
  <c r="L156" i="1" a="1"/>
  <c r="L77" i="1" a="1"/>
  <c r="I18" i="1" a="1"/>
  <c r="L57" i="1" a="1"/>
  <c r="L24" i="1" a="1"/>
  <c r="G81" i="1" a="1"/>
  <c r="K57" i="1" a="1"/>
  <c r="F41" i="1" a="1"/>
  <c r="K29" i="1" a="1"/>
  <c r="K100" i="1" a="1"/>
  <c r="J39" i="1" a="1"/>
  <c r="L38" i="1" a="1"/>
  <c r="L131" i="1" a="1"/>
  <c r="E80" i="1" a="1"/>
  <c r="L123" i="1" a="1"/>
  <c r="J172" i="1" a="1"/>
  <c r="L154" i="1" a="1"/>
  <c r="I120" i="1" a="1"/>
  <c r="L168" i="1" a="1"/>
  <c r="L85" i="1" a="1"/>
  <c r="K40" i="1" a="1"/>
  <c r="I171" i="1" a="1"/>
  <c r="I58" i="1" a="1"/>
  <c r="J68" i="1" a="1"/>
  <c r="L59" i="1" a="1"/>
  <c r="K170" i="1" a="1"/>
  <c r="J99" i="1" a="1"/>
  <c r="C13" i="1" a="1"/>
  <c r="D82" i="1" a="1"/>
  <c r="I157" i="1" a="1"/>
  <c r="J56" i="1" a="1"/>
  <c r="C142" i="1" a="1"/>
  <c r="D75" i="1" a="1"/>
  <c r="H87" i="1" a="1"/>
  <c r="F72" i="1" a="1"/>
  <c r="F162" i="1" a="1"/>
  <c r="C33" i="1" a="1"/>
  <c r="D52" i="1" a="1"/>
  <c r="D61" i="1" a="1"/>
  <c r="E67" i="1" a="1"/>
  <c r="H93" i="1" a="1"/>
  <c r="F32" i="1" a="1"/>
  <c r="C25" i="1" a="1"/>
  <c r="C129" i="1" a="1"/>
  <c r="F92" i="1" a="1"/>
  <c r="G79" i="1" a="1"/>
  <c r="G156" i="1" a="1"/>
  <c r="C104" i="1" a="1"/>
  <c r="D129" i="1" a="1"/>
  <c r="E57" i="1" a="1"/>
  <c r="F35" i="1" a="1"/>
  <c r="G169" i="1" a="1"/>
  <c r="C88" i="1" a="1"/>
  <c r="E152" i="1" a="1"/>
  <c r="E169" i="1" a="1"/>
  <c r="E17" i="1" a="1"/>
  <c r="J87" i="1" a="1"/>
  <c r="C66" i="1" a="1"/>
  <c r="C40" i="1" a="1"/>
  <c r="E146" i="1" a="1"/>
  <c r="F122" i="1" a="1"/>
  <c r="F101" i="1" a="1"/>
  <c r="I49" i="1" a="1"/>
  <c r="D125" i="1" a="1"/>
  <c r="C28" i="1" a="1"/>
  <c r="F24" i="1" a="1"/>
  <c r="H123" i="1" a="1"/>
  <c r="G104" i="1" a="1"/>
  <c r="E65" i="1" a="1"/>
  <c r="J37" i="1" a="1"/>
  <c r="H61" i="1" a="1"/>
  <c r="D26" i="1" a="1"/>
  <c r="D62" i="1" a="1"/>
  <c r="G45" i="1" a="1"/>
  <c r="K141" i="1" a="1"/>
  <c r="H146" i="1" a="1"/>
  <c r="E172" i="1" a="1"/>
  <c r="K142" i="1" a="1"/>
  <c r="I141" i="1" a="1"/>
  <c r="H111" i="1" a="1"/>
  <c r="E131" i="1" a="1"/>
  <c r="K131" i="1" a="1"/>
  <c r="I130" i="1" a="1"/>
  <c r="H100" i="1" a="1"/>
  <c r="C102" i="1" a="1"/>
  <c r="K116" i="1" a="1"/>
  <c r="I119" i="1" a="1"/>
  <c r="H89" i="1" a="1"/>
  <c r="C74" i="1" a="1"/>
  <c r="K101" i="1" a="1"/>
  <c r="I102" i="1" a="1"/>
  <c r="D163" i="1" a="1"/>
  <c r="G146" i="1" a="1"/>
  <c r="H59" i="1" a="1"/>
  <c r="I51" i="1" a="1"/>
  <c r="C108" i="1" a="1"/>
  <c r="J108" i="1" a="1"/>
  <c r="H19" i="1" a="1"/>
  <c r="H150" i="1" a="1"/>
  <c r="F61" i="1" a="1"/>
  <c r="G98" i="1" a="1"/>
  <c r="K108" i="1" a="1"/>
  <c r="I144" i="1" a="1"/>
  <c r="L95" i="1" a="1"/>
  <c r="C103" i="1" a="1"/>
  <c r="I99" i="1" a="1"/>
  <c r="K112" i="1" a="1"/>
  <c r="K122" i="1" a="1"/>
  <c r="L125" i="1" a="1"/>
  <c r="L31" i="1" a="1"/>
  <c r="I95" i="1" a="1"/>
  <c r="K64" i="1" a="1"/>
  <c r="L161" i="1" a="1"/>
  <c r="I62" i="1" a="1"/>
  <c r="L146" i="1" a="1"/>
  <c r="L153" i="1" a="1"/>
  <c r="L139" i="1" a="1"/>
  <c r="L108" i="1" a="1"/>
  <c r="G168" i="1" a="1"/>
  <c r="L63" i="1" a="1"/>
  <c r="L141" i="1" a="1"/>
  <c r="E105" i="1" a="1"/>
  <c r="K152" i="1" a="1"/>
  <c r="L76" i="1" a="1"/>
  <c r="H70" i="1" a="1"/>
  <c r="H78" i="1" a="1"/>
  <c r="G16" i="1" a="1"/>
  <c r="K62" i="1" a="1"/>
  <c r="J25" i="1" a="1"/>
  <c r="K66" i="1" a="1"/>
  <c r="L30" i="1" a="1"/>
  <c r="L25" i="1" a="1"/>
  <c r="J36" i="1" a="1"/>
  <c r="H94" i="1" a="1"/>
  <c r="G143" i="1" a="1"/>
  <c r="L142" i="1" a="1"/>
  <c r="K71" i="1" a="1"/>
  <c r="I93" i="1" a="1"/>
  <c r="H104" i="1" a="1"/>
  <c r="J132" i="1" a="1"/>
  <c r="J27" i="1" a="1"/>
  <c r="C42" i="1" a="1"/>
  <c r="F139" i="1" a="1"/>
  <c r="F117" i="1" a="1"/>
  <c r="G107" i="1" a="1"/>
  <c r="F57" i="1" a="1"/>
  <c r="C43" i="1" a="1"/>
  <c r="C135" i="1" a="1"/>
  <c r="E84" i="1" a="1"/>
  <c r="F110" i="1" a="1"/>
  <c r="E14" i="1" a="1"/>
  <c r="G75" i="1" a="1"/>
  <c r="D96" i="1" a="1"/>
  <c r="D150" i="1" a="1"/>
  <c r="G142" i="1" a="1"/>
  <c r="H84" i="1" a="1"/>
  <c r="G76" i="1" a="1"/>
  <c r="C87" i="1" a="1"/>
  <c r="E122" i="1" a="1"/>
  <c r="F99" i="1" a="1"/>
  <c r="G73" i="1" a="1"/>
  <c r="G32" i="1" a="1"/>
  <c r="D165" i="1" a="1"/>
  <c r="C91" i="1" a="1"/>
  <c r="F127" i="1" a="1"/>
  <c r="F73" i="1" a="1"/>
  <c r="F151" i="1" a="1"/>
  <c r="C159" i="1" a="1"/>
  <c r="D63" i="1" a="1"/>
  <c r="E18" i="1" a="1"/>
  <c r="F17" i="1" a="1"/>
  <c r="G125" i="1" a="1"/>
  <c r="J40" i="1" a="1"/>
  <c r="D40" i="1" a="1"/>
  <c r="D68" i="1" a="1"/>
  <c r="G60" i="1" a="1"/>
  <c r="J97" i="1" a="1"/>
  <c r="H156" i="1" a="1"/>
  <c r="E15" i="1" a="1"/>
  <c r="H74" i="1" a="1"/>
  <c r="I122" i="1" a="1"/>
  <c r="C158" i="1" a="1"/>
  <c r="E64" i="1" a="1"/>
  <c r="H62" i="1" a="1"/>
  <c r="F16" i="1" a="1"/>
  <c r="J141" i="1" a="1"/>
  <c r="C57" i="1" a="1"/>
  <c r="D69" i="1" a="1"/>
  <c r="I30" i="1" a="1"/>
  <c r="I161" i="1" a="1"/>
  <c r="C29" i="1" a="1"/>
  <c r="D59" i="1" a="1"/>
  <c r="I19" i="1" a="1"/>
  <c r="I150" i="1" a="1"/>
  <c r="D118" i="1" a="1"/>
  <c r="D39" i="1" a="1"/>
  <c r="J163" i="1" a="1"/>
  <c r="I139" i="1" a="1"/>
  <c r="D57" i="1" a="1"/>
  <c r="D34" i="1" a="1"/>
  <c r="J145" i="1" a="1"/>
  <c r="E53" i="1" a="1"/>
  <c r="H140" i="1" a="1"/>
  <c r="I109" i="1" a="1"/>
  <c r="J70" i="1" a="1"/>
  <c r="D76" i="1" a="1"/>
  <c r="D89" i="1" a="1"/>
  <c r="I69" i="1" a="1"/>
  <c r="H39" i="1" a="1"/>
  <c r="G172" i="1" a="1"/>
  <c r="H148" i="1" a="1"/>
  <c r="I140" i="1" a="1"/>
  <c r="I44" i="1" a="1"/>
  <c r="K53" i="1" a="1"/>
  <c r="D169" i="1" a="1"/>
  <c r="J53" i="1" a="1"/>
  <c r="I163" i="1" a="1"/>
  <c r="H72" i="1" a="1"/>
  <c r="K73" i="1" a="1"/>
  <c r="K45" i="1" a="1"/>
  <c r="L87" i="1" a="1"/>
  <c r="L115" i="1" a="1"/>
  <c r="L74" i="1" a="1"/>
  <c r="I56" i="1" a="1"/>
  <c r="K54" i="1" a="1"/>
  <c r="L122" i="1" a="1"/>
  <c r="I41" i="1" a="1"/>
  <c r="K16" i="1" a="1"/>
  <c r="E135" i="1" a="1"/>
  <c r="K160" i="1" a="1"/>
  <c r="L81" i="1" a="1"/>
  <c r="H131" i="1" a="1"/>
  <c r="K37" i="1" a="1"/>
  <c r="L21" i="1" a="1"/>
  <c r="J152" i="1" a="1"/>
  <c r="K89" i="1" a="1"/>
  <c r="I138" i="1" a="1"/>
  <c r="L113" i="1" a="1"/>
  <c r="H24" i="1" a="1"/>
  <c r="L117" i="1" a="1"/>
  <c r="L49" i="1" a="1"/>
  <c r="K13" i="1" a="1"/>
  <c r="K150" i="1" a="1"/>
  <c r="J131" i="1" a="1"/>
  <c r="J65" i="1" a="1"/>
  <c r="G17" i="1" a="1"/>
  <c r="H121" i="1" a="1"/>
  <c r="L97" i="1" a="1"/>
  <c r="D108" i="1" a="1"/>
  <c r="D167" i="1" a="1"/>
  <c r="G173" i="1" a="1"/>
  <c r="H103" i="1" a="1"/>
  <c r="G90" i="1" a="1"/>
  <c r="D103" i="1" a="1"/>
  <c r="C35" i="1" a="1"/>
  <c r="C155" i="1" a="1"/>
  <c r="G160" i="1" a="1"/>
  <c r="F64" i="1" a="1"/>
  <c r="H65" i="1" a="1"/>
  <c r="E159" i="1" a="1"/>
  <c r="D22" i="1" a="1"/>
  <c r="G19" i="1" a="1"/>
  <c r="F102" i="1" a="1"/>
  <c r="H79" i="1" a="1"/>
  <c r="D148" i="1" a="1"/>
  <c r="C84" i="1" a="1"/>
  <c r="G149" i="1" a="1"/>
  <c r="H43" i="1" a="1"/>
  <c r="H36" i="1" a="1"/>
  <c r="D72" i="1" a="1"/>
  <c r="D152" i="1" a="1"/>
  <c r="C99" i="1" a="1"/>
  <c r="G129" i="1" a="1"/>
  <c r="F15" i="1" a="1"/>
  <c r="C59" i="1" a="1"/>
  <c r="C151" i="1" a="1"/>
  <c r="F74" i="1" a="1"/>
  <c r="G35" i="1" a="1"/>
  <c r="H129" i="1" a="1"/>
  <c r="L159" i="1" a="1"/>
  <c r="E21" i="1" a="1"/>
  <c r="E94" i="1" a="1"/>
  <c r="H75" i="1" a="1"/>
  <c r="F22" i="1" a="1"/>
  <c r="I37" i="1" a="1"/>
  <c r="F76" i="1" a="1"/>
  <c r="I135" i="1" a="1"/>
  <c r="I22" i="1" a="1"/>
  <c r="C58" i="1" a="1"/>
  <c r="C111" i="1" a="1"/>
  <c r="D56" i="1" a="1"/>
  <c r="G71" i="1" a="1"/>
  <c r="F155" i="1" a="1"/>
  <c r="D16" i="1" a="1"/>
  <c r="E155" i="1" a="1"/>
  <c r="J61" i="1" a="1"/>
  <c r="I50" i="1" a="1"/>
  <c r="E87" i="1" a="1"/>
  <c r="E150" i="1" a="1"/>
  <c r="J23" i="1" a="1"/>
  <c r="I39" i="1" a="1"/>
  <c r="C67" i="1" a="1"/>
  <c r="E145" i="1" a="1"/>
  <c r="K161" i="1" a="1"/>
  <c r="I33" i="1" a="1"/>
  <c r="C39" i="1" a="1"/>
  <c r="E140" i="1" a="1"/>
  <c r="K149" i="1" a="1"/>
  <c r="D128" i="1" a="1"/>
  <c r="E31" i="1" a="1"/>
  <c r="J164" i="1" a="1"/>
  <c r="K38" i="1" a="1"/>
  <c r="C73" i="1" a="1"/>
  <c r="D19" i="1" a="1"/>
  <c r="J104" i="1" a="1"/>
  <c r="I89" i="1" a="1"/>
  <c r="G25" i="1" a="1"/>
  <c r="H42" i="1" a="1"/>
  <c r="I29" i="1" a="1"/>
  <c r="J123" i="1" a="1"/>
  <c r="L114" i="1" a="1"/>
  <c r="E88" i="1" a="1"/>
  <c r="D79" i="1" a="1"/>
  <c r="I52" i="1" a="1"/>
  <c r="J89" i="1" a="1"/>
  <c r="L124" i="1" a="1"/>
  <c r="K41" i="1" a="1"/>
  <c r="H22" i="1" a="1"/>
  <c r="K63" i="1" a="1"/>
  <c r="L96" i="1" a="1"/>
  <c r="G128" i="1" a="1"/>
  <c r="L105" i="1" a="1"/>
  <c r="L86" i="1" a="1"/>
  <c r="J138" i="1" a="1"/>
  <c r="L32" i="1" a="1"/>
  <c r="G20" i="1" a="1"/>
  <c r="K47" i="1" a="1"/>
  <c r="L26" i="1" a="1"/>
  <c r="I36" i="1" a="1"/>
  <c r="L83" i="1" a="1"/>
  <c r="L45" i="1" a="1"/>
  <c r="K125" i="1" a="1"/>
  <c r="L135" i="1" a="1"/>
  <c r="J136" i="1" a="1"/>
  <c r="K31" i="1" a="1"/>
  <c r="K48" i="1" a="1"/>
  <c r="K25" i="1" a="1"/>
  <c r="H86" i="1" a="1"/>
  <c r="E13" i="1" a="1"/>
  <c r="G117" i="1" a="1"/>
  <c r="L37" i="1" a="1"/>
  <c r="K14" i="1" a="1"/>
  <c r="E99" i="1" a="1"/>
  <c r="I74" i="1" a="1"/>
  <c r="E173" i="1" a="1"/>
  <c r="D43" i="1" a="1"/>
  <c r="G36" i="1" a="1"/>
  <c r="F114" i="1" a="1"/>
  <c r="H136" i="1" a="1"/>
  <c r="E119" i="1" a="1"/>
  <c r="D101" i="1" a="1"/>
  <c r="C16" i="1" a="1"/>
  <c r="G80" i="1" a="1"/>
  <c r="G119" i="1" a="1"/>
  <c r="H138" i="1" a="1"/>
  <c r="C130" i="1" a="1"/>
  <c r="F133" i="1" a="1"/>
  <c r="I76" i="1" a="1"/>
  <c r="G152" i="1" a="1"/>
  <c r="E102" i="1" a="1"/>
  <c r="E153" i="1" a="1"/>
  <c r="D145" i="1" a="1"/>
  <c r="H153" i="1" a="1"/>
  <c r="F158" i="1" a="1"/>
  <c r="E69" i="1" a="1"/>
  <c r="C152" i="1" a="1"/>
  <c r="D70" i="1" a="1"/>
  <c r="D138" i="1" a="1"/>
  <c r="H124" i="1" a="1"/>
  <c r="G24" i="1" a="1"/>
  <c r="D120" i="1" a="1"/>
  <c r="C51" i="1" a="1"/>
  <c r="G130" i="1" a="1"/>
  <c r="J107" i="1" a="1"/>
  <c r="I98" i="1" a="1"/>
  <c r="D64" i="1" a="1"/>
  <c r="C69" i="1" a="1"/>
  <c r="C144" i="1" a="1"/>
  <c r="D67" i="1" a="1"/>
  <c r="G85" i="1" a="1"/>
  <c r="E24" i="1" a="1"/>
  <c r="G137" i="1" a="1"/>
  <c r="I35" i="1" a="1"/>
  <c r="J55" i="1" a="1"/>
  <c r="D119" i="1" a="1"/>
  <c r="D86" i="1" a="1"/>
  <c r="E89" i="1" a="1"/>
  <c r="H112" i="1" a="1"/>
  <c r="F44" i="1" a="1"/>
  <c r="D133" i="1" a="1"/>
  <c r="E100" i="1" a="1"/>
  <c r="H63" i="1" a="1"/>
  <c r="J79" i="1" a="1"/>
  <c r="D98" i="1" a="1"/>
  <c r="E95" i="1" a="1"/>
  <c r="H57" i="1" a="1"/>
  <c r="J67" i="1" a="1"/>
  <c r="D15" i="1" a="1"/>
  <c r="E90" i="1" a="1"/>
  <c r="H46" i="1" a="1"/>
  <c r="J44" i="1" a="1"/>
  <c r="E148" i="1" a="1"/>
  <c r="E85" i="1" a="1"/>
  <c r="H35" i="1" a="1"/>
  <c r="E32" i="1" a="1"/>
  <c r="E19" i="1" a="1"/>
  <c r="K140" i="1" a="1"/>
  <c r="I84" i="1" a="1"/>
  <c r="E142" i="1" a="1"/>
  <c r="E125" i="1" a="1"/>
  <c r="K94" i="1" a="1"/>
  <c r="J130" i="1" a="1"/>
  <c r="E59" i="1" a="1"/>
  <c r="I92" i="1" a="1"/>
  <c r="J46" i="1" a="1"/>
  <c r="J19" i="1" a="1"/>
  <c r="K32" i="1" a="1"/>
  <c r="D134" i="1" a="1"/>
  <c r="E170" i="1" a="1"/>
  <c r="J83" i="1" a="1"/>
  <c r="H116" i="1" a="1"/>
  <c r="K22" i="1" a="1"/>
  <c r="L16" i="1" a="1"/>
  <c r="J31" i="1" a="1"/>
  <c r="L104" i="1" a="1"/>
  <c r="L92" i="1" a="1"/>
  <c r="I172" i="1" a="1"/>
  <c r="K43" i="1" a="1"/>
  <c r="L19" i="1" a="1"/>
  <c r="I23" i="1" a="1"/>
  <c r="L136" i="1" a="1"/>
  <c r="I97" i="1" a="1"/>
  <c r="L98" i="1" a="1"/>
  <c r="L50" i="1" a="1"/>
  <c r="J72" i="1" a="1"/>
  <c r="L157" i="1" a="1"/>
  <c r="L64" i="1" a="1"/>
  <c r="K173" i="1" a="1"/>
  <c r="L89" i="1" a="1"/>
  <c r="K102" i="1" a="1"/>
  <c r="L43" i="1" a="1"/>
  <c r="K91" i="1" a="1"/>
  <c r="L53" i="1" a="1"/>
  <c r="G112" i="1" a="1"/>
  <c r="I13" i="1" a="1"/>
  <c r="E117" i="1" a="1"/>
  <c r="F148" i="1" a="1"/>
  <c r="I55" i="1" a="1"/>
  <c r="L126" i="1" a="1"/>
  <c r="J161" i="1" a="1"/>
  <c r="C95" i="1" a="1"/>
  <c r="G27" i="1" a="1"/>
  <c r="D81" i="1" a="1"/>
  <c r="F118" i="1" a="1"/>
  <c r="D85" i="1" a="1"/>
  <c r="E71" i="1" a="1"/>
  <c r="I75" i="1" a="1"/>
  <c r="L20" i="1" a="1"/>
  <c r="K151" i="1" a="1"/>
  <c r="C78" i="1" a="1"/>
  <c r="J91" i="1" a="1"/>
  <c r="C147" i="1" a="1"/>
  <c r="E49" i="1" a="1"/>
  <c r="H47" i="1" a="1"/>
  <c r="G164" i="1" a="1"/>
  <c r="K82" i="1" a="1"/>
  <c r="C128" i="1" a="1"/>
  <c r="E123" i="1" a="1"/>
  <c r="D42" i="1" a="1"/>
  <c r="I164" i="1" a="1"/>
  <c r="H37" i="1" a="1"/>
  <c r="H38" i="1" a="1"/>
  <c r="C30" i="1" a="1"/>
  <c r="D166" i="1" a="1"/>
  <c r="D17" i="1" a="1"/>
  <c r="G41" i="1" a="1"/>
  <c r="F130" i="1" a="1"/>
  <c r="C114" i="1" a="1"/>
  <c r="D23" i="1" a="1"/>
  <c r="I137" i="1" a="1"/>
  <c r="F47" i="1" a="1"/>
  <c r="F100" i="1" a="1"/>
  <c r="C133" i="1" a="1"/>
  <c r="E77" i="1" a="1"/>
  <c r="E141" i="1" a="1"/>
  <c r="K165" i="1" a="1"/>
  <c r="J75" i="1" a="1"/>
  <c r="E23" i="1" a="1"/>
  <c r="D112" i="1" a="1"/>
  <c r="H125" i="1" a="1"/>
  <c r="F115" i="1" a="1"/>
  <c r="E36" i="1" a="1"/>
  <c r="C82" i="1" a="1"/>
  <c r="D130" i="1" a="1"/>
  <c r="D92" i="1" a="1"/>
  <c r="E106" i="1" a="1"/>
  <c r="H130" i="1" a="1"/>
  <c r="F50" i="1" a="1"/>
  <c r="G37" i="1" a="1"/>
  <c r="J119" i="1" a="1"/>
  <c r="C65" i="1" a="1"/>
  <c r="E42" i="1" a="1"/>
  <c r="E127" i="1" a="1"/>
  <c r="F147" i="1" a="1"/>
  <c r="E37" i="1" a="1"/>
  <c r="G103" i="1" a="1"/>
  <c r="E154" i="1" a="1"/>
  <c r="E45" i="1" a="1"/>
  <c r="I118" i="1" a="1"/>
  <c r="K104" i="1" a="1"/>
  <c r="E111" i="1" a="1"/>
  <c r="E40" i="1" a="1"/>
  <c r="I107" i="1" a="1"/>
  <c r="K86" i="1" a="1"/>
  <c r="E168" i="1" a="1"/>
  <c r="E35" i="1" a="1"/>
  <c r="I96" i="1" a="1"/>
  <c r="K18" i="1" a="1"/>
  <c r="E129" i="1" a="1"/>
  <c r="E30" i="1" a="1"/>
  <c r="I85" i="1" a="1"/>
  <c r="E46" i="1" a="1"/>
  <c r="H34" i="1" a="1"/>
  <c r="I86" i="1" a="1"/>
  <c r="J143" i="1" a="1"/>
  <c r="C138" i="1" a="1"/>
  <c r="E70" i="1" a="1"/>
  <c r="I168" i="1" a="1"/>
  <c r="K157" i="1" a="1"/>
  <c r="F45" i="1" a="1"/>
  <c r="J106" i="1" a="1"/>
  <c r="H17" i="1" a="1"/>
  <c r="J115" i="1" a="1"/>
  <c r="L93" i="1" a="1"/>
  <c r="C146" i="1" a="1"/>
  <c r="E110" i="1" a="1"/>
  <c r="L119" i="1" a="1"/>
  <c r="I77" i="1" a="1"/>
  <c r="L47" i="1" a="1"/>
  <c r="K95" i="1" a="1"/>
  <c r="H77" i="1" a="1"/>
  <c r="L173" i="1" a="1"/>
  <c r="L40" i="1" a="1"/>
  <c r="J20" i="1" a="1"/>
  <c r="L94" i="1" a="1"/>
  <c r="L164" i="1" a="1"/>
  <c r="I45" i="1" a="1"/>
  <c r="K44" i="1" a="1"/>
  <c r="J120" i="1" a="1"/>
  <c r="L167" i="1" a="1"/>
  <c r="L69" i="1" a="1"/>
  <c r="J82" i="1" a="1"/>
  <c r="K65" i="1" a="1"/>
  <c r="J142" i="1" a="1"/>
  <c r="J33" i="1" a="1"/>
  <c r="G116" i="1" a="1"/>
  <c r="K145" i="1" a="1"/>
  <c r="K163" i="1" a="1"/>
  <c r="J45" i="1" a="1"/>
  <c r="L145" i="1" a="1"/>
  <c r="F137" i="1" a="1"/>
  <c r="F13" i="1" a="1"/>
  <c r="G148" i="1" a="1"/>
  <c r="G102" i="1" a="1"/>
  <c r="F59" i="1" a="1"/>
  <c r="E74" i="1" a="1"/>
  <c r="C171" i="1" a="1"/>
  <c r="K81" i="1" a="1"/>
  <c r="K72" i="1" a="1"/>
  <c r="J100" i="1" a="1"/>
  <c r="D160" i="1" a="1"/>
  <c r="K158" i="1" a="1"/>
  <c r="F112" i="1" a="1"/>
  <c r="J69" i="1" a="1"/>
  <c r="H105" i="1" a="1"/>
  <c r="K55" i="1" a="1"/>
  <c r="I152" i="1" a="1"/>
  <c r="J30" i="1" a="1"/>
  <c r="L155" i="1" a="1"/>
  <c r="C47" i="1" a="1"/>
  <c r="C55" i="1" a="1"/>
  <c r="D45" i="1" a="1"/>
  <c r="G64" i="1" a="1"/>
  <c r="F149" i="1" a="1"/>
  <c r="C44" i="1" a="1"/>
  <c r="C90" i="1" a="1"/>
  <c r="F121" i="1" a="1"/>
  <c r="E22" i="1" a="1"/>
  <c r="F132" i="1" a="1"/>
  <c r="C166" i="1" a="1"/>
  <c r="D46" i="1" a="1"/>
  <c r="D55" i="1" a="1"/>
  <c r="E56" i="1" a="1"/>
  <c r="I154" i="1" a="1"/>
  <c r="F25" i="1" a="1"/>
  <c r="C14" i="1" a="1"/>
  <c r="C156" i="1" a="1"/>
  <c r="F86" i="1" a="1"/>
  <c r="G72" i="1" a="1"/>
  <c r="G150" i="1" a="1"/>
  <c r="C116" i="1" a="1"/>
  <c r="C46" i="1" a="1"/>
  <c r="E157" i="1" a="1"/>
  <c r="F128" i="1" a="1"/>
  <c r="F107" i="1" a="1"/>
  <c r="C81" i="1" a="1"/>
  <c r="E136" i="1" a="1"/>
  <c r="J28" i="1" a="1"/>
  <c r="G165" i="1" a="1"/>
  <c r="F82" i="1" a="1"/>
  <c r="C71" i="1" a="1"/>
  <c r="E124" i="1" a="1"/>
  <c r="E134" i="1" a="1"/>
  <c r="F153" i="1" a="1"/>
  <c r="E48" i="1" a="1"/>
  <c r="G110" i="1" a="1"/>
  <c r="H98" i="1" a="1"/>
  <c r="K136" i="1" a="1"/>
  <c r="D126" i="1" a="1"/>
  <c r="C52" i="1" a="1"/>
  <c r="C106" i="1" a="1"/>
  <c r="F36" i="1" a="1"/>
  <c r="F77" i="1" a="1"/>
  <c r="H118" i="1" a="1"/>
  <c r="H145" i="1" a="1"/>
  <c r="F126" i="1" a="1"/>
  <c r="J168" i="1" a="1"/>
  <c r="H155" i="1" a="1"/>
  <c r="H117" i="1" a="1"/>
  <c r="F120" i="1" a="1"/>
  <c r="J157" i="1" a="1"/>
  <c r="H144" i="1" a="1"/>
  <c r="I26" i="1" a="1"/>
  <c r="F109" i="1" a="1"/>
  <c r="J151" i="1" a="1"/>
  <c r="H133" i="1" a="1"/>
  <c r="F135" i="1" a="1"/>
  <c r="F98" i="1" a="1"/>
  <c r="J144" i="1" a="1"/>
  <c r="C118" i="1" a="1"/>
  <c r="G124" i="1" a="1"/>
  <c r="J146" i="1" a="1"/>
  <c r="J32" i="1" a="1"/>
  <c r="F93" i="1" a="1"/>
  <c r="F170" i="1" a="1"/>
  <c r="I57" i="1" a="1"/>
  <c r="G33" i="1" a="1"/>
  <c r="F75" i="1" a="1"/>
  <c r="K114" i="1" a="1"/>
  <c r="I67" i="1" a="1"/>
  <c r="K162" i="1" a="1"/>
  <c r="K21" i="1" a="1"/>
  <c r="D149" i="1" a="1"/>
  <c r="E55" i="1" a="1"/>
  <c r="I146" i="1" a="1"/>
  <c r="J110" i="1" a="1"/>
  <c r="L152" i="1" a="1"/>
  <c r="L148" i="1" a="1"/>
  <c r="I66" i="1" a="1"/>
  <c r="L22" i="1" a="1"/>
  <c r="I124" i="1" a="1"/>
  <c r="H66" i="1" a="1"/>
  <c r="L163" i="1" a="1"/>
  <c r="K70" i="1" a="1"/>
  <c r="G78" i="1" a="1"/>
  <c r="L73" i="1" a="1"/>
  <c r="J93" i="1" a="1"/>
  <c r="K75" i="1" a="1"/>
  <c r="L14" i="1" a="1"/>
  <c r="J81" i="1" a="1"/>
  <c r="L106" i="1" a="1"/>
  <c r="L58" i="1" a="1"/>
  <c r="J102" i="1" a="1"/>
  <c r="F89" i="1" a="1"/>
  <c r="L160" i="1" a="1"/>
  <c r="K60" i="1" a="1"/>
  <c r="H122" i="1" a="1"/>
  <c r="K93" i="1" a="1"/>
  <c r="K147" i="1" a="1"/>
  <c r="L13" i="1" a="1"/>
  <c r="H33" i="1" a="1"/>
  <c r="L68" i="1" a="1"/>
  <c r="K56" i="1" a="1"/>
  <c r="J173" i="1" a="1"/>
  <c r="L111" i="1" a="1"/>
  <c r="E82" i="1" a="1"/>
  <c r="E38" i="1" a="1"/>
  <c r="H97" i="1" a="1"/>
  <c r="C15" i="1" a="1"/>
  <c r="J80" i="1" a="1"/>
  <c r="J158" i="1" a="1"/>
  <c r="J137" i="1" a="1"/>
  <c r="L34" i="1" a="1"/>
  <c r="L112" i="1" a="1"/>
  <c r="L101" i="1" a="1"/>
  <c r="G13" i="1" l="1"/>
  <c r="D13" i="1"/>
  <c r="H13" i="1"/>
  <c r="J13" i="1"/>
  <c r="C13" i="1"/>
  <c r="L13" i="1"/>
  <c r="F13" i="1"/>
  <c r="I13" i="1"/>
  <c r="E13" i="1"/>
  <c r="K13" i="1"/>
  <c r="L25" i="1"/>
  <c r="K40" i="1"/>
  <c r="K42" i="1"/>
  <c r="K83" i="1"/>
  <c r="L107" i="1"/>
  <c r="J74" i="1"/>
  <c r="L169" i="1"/>
  <c r="J117" i="1"/>
  <c r="I88" i="1"/>
  <c r="H127" i="1"/>
  <c r="J100" i="1"/>
  <c r="K147" i="1"/>
  <c r="F137" i="1"/>
  <c r="G112" i="1"/>
  <c r="H86" i="1"/>
  <c r="L49" i="1"/>
  <c r="L30" i="1"/>
  <c r="L85" i="1"/>
  <c r="L61" i="1"/>
  <c r="L101" i="1"/>
  <c r="K50" i="1"/>
  <c r="K154" i="1"/>
  <c r="L18" i="1"/>
  <c r="L172" i="1"/>
  <c r="L103" i="1"/>
  <c r="K52" i="1"/>
  <c r="L144" i="1"/>
  <c r="K93" i="1"/>
  <c r="L145" i="1"/>
  <c r="L53" i="1"/>
  <c r="K25" i="1"/>
  <c r="L117" i="1"/>
  <c r="K66" i="1"/>
  <c r="L168" i="1"/>
  <c r="K117" i="1"/>
  <c r="J91" i="1"/>
  <c r="L150" i="1"/>
  <c r="K137" i="1"/>
  <c r="K85" i="1"/>
  <c r="J129" i="1"/>
  <c r="I127" i="1"/>
  <c r="H166" i="1"/>
  <c r="J161" i="1"/>
  <c r="H122" i="1"/>
  <c r="J45" i="1"/>
  <c r="K91" i="1"/>
  <c r="K48" i="1"/>
  <c r="H24" i="1"/>
  <c r="J25" i="1"/>
  <c r="I120" i="1"/>
  <c r="E25" i="1"/>
  <c r="J160" i="1"/>
  <c r="J153" i="1"/>
  <c r="F55" i="1"/>
  <c r="L54" i="1"/>
  <c r="L35" i="1"/>
  <c r="L90" i="1"/>
  <c r="L66" i="1"/>
  <c r="L111" i="1"/>
  <c r="K60" i="1"/>
  <c r="K163" i="1"/>
  <c r="L43" i="1"/>
  <c r="K31" i="1"/>
  <c r="L113" i="1"/>
  <c r="K62" i="1"/>
  <c r="L154" i="1"/>
  <c r="K103" i="1"/>
  <c r="L155" i="1"/>
  <c r="L78" i="1"/>
  <c r="K35" i="1"/>
  <c r="L127" i="1"/>
  <c r="L33" i="1"/>
  <c r="K17" i="1"/>
  <c r="K127" i="1"/>
  <c r="J99" i="1"/>
  <c r="L160" i="1"/>
  <c r="K145" i="1"/>
  <c r="K102" i="1"/>
  <c r="J136" i="1"/>
  <c r="I138" i="1"/>
  <c r="G16" i="1"/>
  <c r="J172" i="1"/>
  <c r="H128" i="1"/>
  <c r="J56" i="1"/>
  <c r="J22" i="1"/>
  <c r="K92" i="1"/>
  <c r="H85" i="1"/>
  <c r="J105" i="1"/>
  <c r="H20" i="1"/>
  <c r="E50" i="1"/>
  <c r="I93" i="1"/>
  <c r="F89" i="1"/>
  <c r="G116" i="1"/>
  <c r="L89" i="1"/>
  <c r="L135" i="1"/>
  <c r="K89" i="1"/>
  <c r="H78" i="1"/>
  <c r="L123" i="1"/>
  <c r="L147" i="1"/>
  <c r="K135" i="1"/>
  <c r="J114" i="1"/>
  <c r="L170" i="1"/>
  <c r="K156" i="1"/>
  <c r="I155" i="1"/>
  <c r="G55" i="1"/>
  <c r="I61" i="1"/>
  <c r="G17" i="1"/>
  <c r="J102" i="1"/>
  <c r="J33" i="1"/>
  <c r="K173" i="1"/>
  <c r="K125" i="1"/>
  <c r="J152" i="1"/>
  <c r="H70" i="1"/>
  <c r="E80" i="1"/>
  <c r="H82" i="1"/>
  <c r="G15" i="1"/>
  <c r="D121" i="1"/>
  <c r="L80" i="1"/>
  <c r="L134" i="1"/>
  <c r="L140" i="1"/>
  <c r="H18" i="1"/>
  <c r="L71" i="1"/>
  <c r="K72" i="1"/>
  <c r="L58" i="1"/>
  <c r="J142" i="1"/>
  <c r="L64" i="1"/>
  <c r="L45" i="1"/>
  <c r="L21" i="1"/>
  <c r="L76" i="1"/>
  <c r="L131" i="1"/>
  <c r="K80" i="1"/>
  <c r="J27" i="1"/>
  <c r="L102" i="1"/>
  <c r="K51" i="1"/>
  <c r="L133" i="1"/>
  <c r="L23" i="1"/>
  <c r="L174" i="1"/>
  <c r="L27" i="1"/>
  <c r="K14" i="1"/>
  <c r="L106" i="1"/>
  <c r="K65" i="1"/>
  <c r="L157" i="1"/>
  <c r="L83" i="1"/>
  <c r="K37" i="1"/>
  <c r="K152" i="1"/>
  <c r="L38" i="1"/>
  <c r="K19" i="1"/>
  <c r="J26" i="1"/>
  <c r="K167" i="1"/>
  <c r="J148" i="1"/>
  <c r="I166" i="1"/>
  <c r="L62" i="1"/>
  <c r="I72" i="1"/>
  <c r="G28" i="1"/>
  <c r="J124" i="1"/>
  <c r="J81" i="1"/>
  <c r="J82" i="1"/>
  <c r="J72" i="1"/>
  <c r="I36" i="1"/>
  <c r="H131" i="1"/>
  <c r="E105" i="1"/>
  <c r="J39" i="1"/>
  <c r="J165" i="1"/>
  <c r="C78" i="1"/>
  <c r="L162" i="1"/>
  <c r="K107" i="1"/>
  <c r="I70" i="1"/>
  <c r="K171" i="1"/>
  <c r="K113" i="1"/>
  <c r="K27" i="1"/>
  <c r="K170" i="1"/>
  <c r="L14" i="1"/>
  <c r="L69" i="1"/>
  <c r="L50" i="1"/>
  <c r="L26" i="1"/>
  <c r="L81" i="1"/>
  <c r="L141" i="1"/>
  <c r="K100" i="1"/>
  <c r="J35" i="1"/>
  <c r="L112" i="1"/>
  <c r="K61" i="1"/>
  <c r="L143" i="1"/>
  <c r="L48" i="1"/>
  <c r="K23" i="1"/>
  <c r="L52" i="1"/>
  <c r="K24" i="1"/>
  <c r="L126" i="1"/>
  <c r="K75" i="1"/>
  <c r="L167" i="1"/>
  <c r="L98" i="1"/>
  <c r="K47" i="1"/>
  <c r="K160" i="1"/>
  <c r="L63" i="1"/>
  <c r="K29" i="1"/>
  <c r="J34" i="1"/>
  <c r="J30" i="1"/>
  <c r="I27" i="1"/>
  <c r="H16" i="1"/>
  <c r="K121" i="1"/>
  <c r="I111" i="1"/>
  <c r="G67" i="1"/>
  <c r="J149" i="1"/>
  <c r="J173" i="1"/>
  <c r="J93" i="1"/>
  <c r="J120" i="1"/>
  <c r="I97" i="1"/>
  <c r="G20" i="1"/>
  <c r="E135" i="1"/>
  <c r="G168" i="1"/>
  <c r="F41" i="1"/>
  <c r="D93" i="1"/>
  <c r="L56" i="1"/>
  <c r="L28" i="1"/>
  <c r="J29" i="1"/>
  <c r="L121" i="1"/>
  <c r="L165" i="1"/>
  <c r="L55" i="1"/>
  <c r="K110" i="1"/>
  <c r="K71" i="1"/>
  <c r="L73" i="1"/>
  <c r="K44" i="1"/>
  <c r="L136" i="1"/>
  <c r="L32" i="1"/>
  <c r="K16" i="1"/>
  <c r="L108" i="1"/>
  <c r="K57" i="1"/>
  <c r="J16" i="1"/>
  <c r="L88" i="1"/>
  <c r="K39" i="1"/>
  <c r="J51" i="1"/>
  <c r="J42" i="1"/>
  <c r="I38" i="1"/>
  <c r="H27" i="1"/>
  <c r="K133" i="1"/>
  <c r="I133" i="1"/>
  <c r="G78" i="1"/>
  <c r="I45" i="1"/>
  <c r="I23" i="1"/>
  <c r="J138" i="1"/>
  <c r="I41" i="1"/>
  <c r="L139" i="1"/>
  <c r="G81" i="1"/>
  <c r="E160" i="1"/>
  <c r="E41" i="1"/>
  <c r="G26" i="1"/>
  <c r="E54" i="1"/>
  <c r="L39" i="1"/>
  <c r="J77" i="1"/>
  <c r="K15" i="1"/>
  <c r="I167" i="1"/>
  <c r="L59" i="1"/>
  <c r="K70" i="1"/>
  <c r="L164" i="1"/>
  <c r="L19" i="1"/>
  <c r="L86" i="1"/>
  <c r="L122" i="1"/>
  <c r="L153" i="1"/>
  <c r="L24" i="1"/>
  <c r="L79" i="1"/>
  <c r="L60" i="1"/>
  <c r="L36" i="1"/>
  <c r="L17" i="1"/>
  <c r="L171" i="1"/>
  <c r="K120" i="1"/>
  <c r="J52" i="1"/>
  <c r="L132" i="1"/>
  <c r="K81" i="1"/>
  <c r="L163" i="1"/>
  <c r="L94" i="1"/>
  <c r="K43" i="1"/>
  <c r="L105" i="1"/>
  <c r="K54" i="1"/>
  <c r="L146" i="1"/>
  <c r="L57" i="1"/>
  <c r="K26" i="1"/>
  <c r="L118" i="1"/>
  <c r="K67" i="1"/>
  <c r="J24" i="1"/>
  <c r="L100" i="1"/>
  <c r="K59" i="1"/>
  <c r="J101" i="1"/>
  <c r="J54" i="1"/>
  <c r="I55" i="1"/>
  <c r="H66" i="1"/>
  <c r="J20" i="1"/>
  <c r="I172" i="1"/>
  <c r="G128" i="1"/>
  <c r="I56" i="1"/>
  <c r="I62" i="1"/>
  <c r="I18" i="1"/>
  <c r="I91" i="1"/>
  <c r="K151" i="1"/>
  <c r="G131" i="1"/>
  <c r="D29" i="1"/>
  <c r="H53" i="1"/>
  <c r="F134" i="1"/>
  <c r="D141" i="1"/>
  <c r="K146" i="1"/>
  <c r="K56" i="1"/>
  <c r="I124" i="1"/>
  <c r="L40" i="1"/>
  <c r="L92" i="1"/>
  <c r="L96" i="1"/>
  <c r="L74" i="1"/>
  <c r="L161" i="1"/>
  <c r="L77" i="1"/>
  <c r="L29" i="1"/>
  <c r="L84" i="1"/>
  <c r="L65" i="1"/>
  <c r="L46" i="1"/>
  <c r="L42" i="1"/>
  <c r="K20" i="1"/>
  <c r="K129" i="1"/>
  <c r="J60" i="1"/>
  <c r="L142" i="1"/>
  <c r="L22" i="1"/>
  <c r="L173" i="1"/>
  <c r="L104" i="1"/>
  <c r="K63" i="1"/>
  <c r="L115" i="1"/>
  <c r="K64" i="1"/>
  <c r="L156" i="1"/>
  <c r="L82" i="1"/>
  <c r="K36" i="1"/>
  <c r="L128" i="1"/>
  <c r="K77" i="1"/>
  <c r="J41" i="1"/>
  <c r="L120" i="1"/>
  <c r="K69" i="1"/>
  <c r="J109" i="1"/>
  <c r="J65" i="1"/>
  <c r="I66" i="1"/>
  <c r="H77" i="1"/>
  <c r="J31" i="1"/>
  <c r="H22" i="1"/>
  <c r="L87" i="1"/>
  <c r="I95" i="1"/>
  <c r="I123" i="1"/>
  <c r="I24" i="1"/>
  <c r="I152" i="1"/>
  <c r="J73" i="1"/>
  <c r="F26" i="1"/>
  <c r="D74" i="1"/>
  <c r="G138" i="1"/>
  <c r="G115" i="1"/>
  <c r="C75" i="1"/>
  <c r="L72" i="1"/>
  <c r="L148" i="1"/>
  <c r="K95" i="1"/>
  <c r="L16" i="1"/>
  <c r="K41" i="1"/>
  <c r="K45" i="1"/>
  <c r="L31" i="1"/>
  <c r="J43" i="1"/>
  <c r="K33" i="1"/>
  <c r="L34" i="1"/>
  <c r="L15" i="1"/>
  <c r="L75" i="1"/>
  <c r="L51" i="1"/>
  <c r="L67" i="1"/>
  <c r="K30" i="1"/>
  <c r="K138" i="1"/>
  <c r="J68" i="1"/>
  <c r="L152" i="1"/>
  <c r="L47" i="1"/>
  <c r="K22" i="1"/>
  <c r="L124" i="1"/>
  <c r="K73" i="1"/>
  <c r="L125" i="1"/>
  <c r="K74" i="1"/>
  <c r="L166" i="1"/>
  <c r="L97" i="1"/>
  <c r="K46" i="1"/>
  <c r="L138" i="1"/>
  <c r="K87" i="1"/>
  <c r="J66" i="1"/>
  <c r="L130" i="1"/>
  <c r="K79" i="1"/>
  <c r="L37" i="1"/>
  <c r="J110" i="1"/>
  <c r="I77" i="1"/>
  <c r="H116" i="1"/>
  <c r="J89" i="1"/>
  <c r="H72" i="1"/>
  <c r="K122" i="1"/>
  <c r="I156" i="1"/>
  <c r="I129" i="1"/>
  <c r="I74" i="1"/>
  <c r="H41" i="1"/>
  <c r="J170" i="1"/>
  <c r="F87" i="1"/>
  <c r="K84" i="1"/>
  <c r="E58" i="1"/>
  <c r="E28" i="1"/>
  <c r="C171" i="1"/>
  <c r="I146" i="1"/>
  <c r="L119" i="1"/>
  <c r="J83" i="1"/>
  <c r="I52" i="1"/>
  <c r="I163" i="1"/>
  <c r="K112" i="1"/>
  <c r="J121" i="1"/>
  <c r="I47" i="1"/>
  <c r="K78" i="1"/>
  <c r="J96" i="1"/>
  <c r="I81" i="1"/>
  <c r="H31" i="1"/>
  <c r="H142" i="1"/>
  <c r="G87" i="1"/>
  <c r="F37" i="1"/>
  <c r="F148" i="1"/>
  <c r="E55" i="1"/>
  <c r="E110" i="1"/>
  <c r="E170" i="1"/>
  <c r="D79" i="1"/>
  <c r="J53" i="1"/>
  <c r="I99" i="1"/>
  <c r="H154" i="1"/>
  <c r="E63" i="1"/>
  <c r="G144" i="1"/>
  <c r="G163" i="1"/>
  <c r="F157" i="1"/>
  <c r="H23" i="1"/>
  <c r="G51" i="1"/>
  <c r="G135" i="1"/>
  <c r="H152" i="1"/>
  <c r="G143" i="1"/>
  <c r="D149" i="1"/>
  <c r="C146" i="1"/>
  <c r="D134" i="1"/>
  <c r="E88" i="1"/>
  <c r="D169" i="1"/>
  <c r="C103" i="1"/>
  <c r="C127" i="1"/>
  <c r="L44" i="1"/>
  <c r="L20" i="1"/>
  <c r="L70" i="1"/>
  <c r="L41" i="1"/>
  <c r="L91" i="1"/>
  <c r="L151" i="1"/>
  <c r="K90" i="1"/>
  <c r="J18" i="1"/>
  <c r="L68" i="1"/>
  <c r="K21" i="1"/>
  <c r="L93" i="1"/>
  <c r="K32" i="1"/>
  <c r="L114" i="1"/>
  <c r="K53" i="1"/>
  <c r="L95" i="1"/>
  <c r="K34" i="1"/>
  <c r="L116" i="1"/>
  <c r="K55" i="1"/>
  <c r="L137" i="1"/>
  <c r="K76" i="1"/>
  <c r="L158" i="1"/>
  <c r="K97" i="1"/>
  <c r="J49" i="1"/>
  <c r="L110" i="1"/>
  <c r="K49" i="1"/>
  <c r="K162" i="1"/>
  <c r="J115" i="1"/>
  <c r="J19" i="1"/>
  <c r="J123" i="1"/>
  <c r="I44" i="1"/>
  <c r="I144" i="1"/>
  <c r="H83" i="1"/>
  <c r="G22" i="1"/>
  <c r="K144" i="1"/>
  <c r="J111" i="1"/>
  <c r="I83" i="1"/>
  <c r="H28" i="1"/>
  <c r="H139" i="1"/>
  <c r="G89" i="1"/>
  <c r="K169" i="1"/>
  <c r="J131" i="1"/>
  <c r="I67" i="1"/>
  <c r="H17" i="1"/>
  <c r="J46" i="1"/>
  <c r="I29" i="1"/>
  <c r="I140" i="1"/>
  <c r="K108" i="1"/>
  <c r="J103" i="1"/>
  <c r="I46" i="1"/>
  <c r="I157" i="1"/>
  <c r="K58" i="1"/>
  <c r="J94" i="1"/>
  <c r="I63" i="1"/>
  <c r="I169" i="1"/>
  <c r="K126" i="1"/>
  <c r="J127" i="1"/>
  <c r="I58" i="1"/>
  <c r="K114" i="1"/>
  <c r="J106" i="1"/>
  <c r="I92" i="1"/>
  <c r="H42" i="1"/>
  <c r="H148" i="1"/>
  <c r="G98" i="1"/>
  <c r="F48" i="1"/>
  <c r="F159" i="1"/>
  <c r="E60" i="1"/>
  <c r="E120" i="1"/>
  <c r="D14" i="1"/>
  <c r="D84" i="1"/>
  <c r="J64" i="1"/>
  <c r="I143" i="1"/>
  <c r="G38" i="1"/>
  <c r="E74" i="1"/>
  <c r="F75" i="1"/>
  <c r="F45" i="1"/>
  <c r="E59" i="1"/>
  <c r="G25" i="1"/>
  <c r="G172" i="1"/>
  <c r="F61" i="1"/>
  <c r="G74" i="1"/>
  <c r="F68" i="1"/>
  <c r="C60" i="1"/>
  <c r="E104" i="1"/>
  <c r="C45" i="1"/>
  <c r="D25" i="1"/>
  <c r="C80" i="1"/>
  <c r="F154" i="1"/>
  <c r="C105" i="1"/>
  <c r="H94" i="1"/>
  <c r="G33" i="1"/>
  <c r="K157" i="1"/>
  <c r="J130" i="1"/>
  <c r="I89" i="1"/>
  <c r="H39" i="1"/>
  <c r="H150" i="1"/>
  <c r="G111" i="1"/>
  <c r="J21" i="1"/>
  <c r="J137" i="1"/>
  <c r="I78" i="1"/>
  <c r="L99" i="1"/>
  <c r="J57" i="1"/>
  <c r="I40" i="1"/>
  <c r="I151" i="1"/>
  <c r="K124" i="1"/>
  <c r="J126" i="1"/>
  <c r="I57" i="1"/>
  <c r="I168" i="1"/>
  <c r="K94" i="1"/>
  <c r="J104" i="1"/>
  <c r="I69" i="1"/>
  <c r="H19" i="1"/>
  <c r="K139" i="1"/>
  <c r="J133" i="1"/>
  <c r="I75" i="1"/>
  <c r="K128" i="1"/>
  <c r="J140" i="1"/>
  <c r="I103" i="1"/>
  <c r="H48" i="1"/>
  <c r="H159" i="1"/>
  <c r="G109" i="1"/>
  <c r="F59" i="1"/>
  <c r="F170" i="1"/>
  <c r="E70" i="1"/>
  <c r="E125" i="1"/>
  <c r="D19" i="1"/>
  <c r="D89" i="1"/>
  <c r="J108" i="1"/>
  <c r="I160" i="1"/>
  <c r="G46" i="1"/>
  <c r="I147" i="1"/>
  <c r="F94" i="1"/>
  <c r="F113" i="1"/>
  <c r="J159" i="1"/>
  <c r="G65" i="1"/>
  <c r="F29" i="1"/>
  <c r="F79" i="1"/>
  <c r="G102" i="1"/>
  <c r="F93" i="1"/>
  <c r="C138" i="1"/>
  <c r="E142" i="1"/>
  <c r="C73" i="1"/>
  <c r="D76" i="1"/>
  <c r="C108" i="1"/>
  <c r="E132" i="1"/>
  <c r="C161" i="1"/>
  <c r="H105" i="1"/>
  <c r="G44" i="1"/>
  <c r="K168" i="1"/>
  <c r="J155" i="1"/>
  <c r="I100" i="1"/>
  <c r="H50" i="1"/>
  <c r="H172" i="1"/>
  <c r="G117" i="1"/>
  <c r="J32" i="1"/>
  <c r="J143" i="1"/>
  <c r="I84" i="1"/>
  <c r="K38" i="1"/>
  <c r="J70" i="1"/>
  <c r="I51" i="1"/>
  <c r="I162" i="1"/>
  <c r="K159" i="1"/>
  <c r="J132" i="1"/>
  <c r="I68" i="1"/>
  <c r="I174" i="1"/>
  <c r="K111" i="1"/>
  <c r="J113" i="1"/>
  <c r="I80" i="1"/>
  <c r="H30" i="1"/>
  <c r="K150" i="1"/>
  <c r="J146" i="1"/>
  <c r="I86" i="1"/>
  <c r="K140" i="1"/>
  <c r="J164" i="1"/>
  <c r="I109" i="1"/>
  <c r="H59" i="1"/>
  <c r="H170" i="1"/>
  <c r="G120" i="1"/>
  <c r="F70" i="1"/>
  <c r="E20" i="1"/>
  <c r="E75" i="1"/>
  <c r="E130" i="1"/>
  <c r="D24" i="1"/>
  <c r="D109" i="1"/>
  <c r="J135" i="1"/>
  <c r="I171" i="1"/>
  <c r="G124" i="1"/>
  <c r="H34" i="1"/>
  <c r="E19" i="1"/>
  <c r="E31" i="1"/>
  <c r="H140" i="1"/>
  <c r="G146" i="1"/>
  <c r="F116" i="1"/>
  <c r="F166" i="1"/>
  <c r="F30" i="1"/>
  <c r="F173" i="1"/>
  <c r="C107" i="1"/>
  <c r="D105" i="1"/>
  <c r="C145" i="1"/>
  <c r="D135" i="1"/>
  <c r="E43" i="1"/>
  <c r="D53" i="1"/>
  <c r="C118" i="1"/>
  <c r="E46" i="1"/>
  <c r="E32" i="1"/>
  <c r="D128" i="1"/>
  <c r="E53" i="1"/>
  <c r="D163" i="1"/>
  <c r="E109" i="1"/>
  <c r="D137" i="1"/>
  <c r="E71" i="1"/>
  <c r="J156" i="1"/>
  <c r="I106" i="1"/>
  <c r="K106" i="1"/>
  <c r="J92" i="1"/>
  <c r="I79" i="1"/>
  <c r="H29" i="1"/>
  <c r="J36" i="1"/>
  <c r="J144" i="1"/>
  <c r="I85" i="1"/>
  <c r="H35" i="1"/>
  <c r="K149" i="1"/>
  <c r="J145" i="1"/>
  <c r="I102" i="1"/>
  <c r="H58" i="1"/>
  <c r="J48" i="1"/>
  <c r="J158" i="1"/>
  <c r="I108" i="1"/>
  <c r="K164" i="1"/>
  <c r="I20" i="1"/>
  <c r="I131" i="1"/>
  <c r="H81" i="1"/>
  <c r="G31" i="1"/>
  <c r="G148" i="1"/>
  <c r="F98" i="1"/>
  <c r="E30" i="1"/>
  <c r="E85" i="1"/>
  <c r="E140" i="1"/>
  <c r="D34" i="1"/>
  <c r="K101" i="1"/>
  <c r="I43" i="1"/>
  <c r="H99" i="1"/>
  <c r="G174" i="1"/>
  <c r="H164" i="1"/>
  <c r="J147" i="1"/>
  <c r="H167" i="1"/>
  <c r="G92" i="1"/>
  <c r="F90" i="1"/>
  <c r="E72" i="1"/>
  <c r="E117" i="1"/>
  <c r="F135" i="1"/>
  <c r="E129" i="1"/>
  <c r="E148" i="1"/>
  <c r="C39" i="1"/>
  <c r="D57" i="1"/>
  <c r="C74" i="1"/>
  <c r="D65" i="1"/>
  <c r="C48" i="1"/>
  <c r="D60" i="1"/>
  <c r="K99" i="1"/>
  <c r="J59" i="1"/>
  <c r="K118" i="1"/>
  <c r="J78" i="1"/>
  <c r="J154" i="1"/>
  <c r="I94" i="1"/>
  <c r="H33" i="1"/>
  <c r="H133" i="1"/>
  <c r="K18" i="1"/>
  <c r="J44" i="1"/>
  <c r="I33" i="1"/>
  <c r="I139" i="1"/>
  <c r="H89" i="1"/>
  <c r="G39" i="1"/>
  <c r="K28" i="1"/>
  <c r="J69" i="1"/>
  <c r="J167" i="1"/>
  <c r="I117" i="1"/>
  <c r="K123" i="1"/>
  <c r="J125" i="1"/>
  <c r="I90" i="1"/>
  <c r="H40" i="1"/>
  <c r="J47" i="1"/>
  <c r="J151" i="1"/>
  <c r="I96" i="1"/>
  <c r="H46" i="1"/>
  <c r="K161" i="1"/>
  <c r="J163" i="1"/>
  <c r="I119" i="1"/>
  <c r="H69" i="1"/>
  <c r="J62" i="1"/>
  <c r="J169" i="1"/>
  <c r="I114" i="1"/>
  <c r="J14" i="1"/>
  <c r="I31" i="1"/>
  <c r="I142" i="1"/>
  <c r="H92" i="1"/>
  <c r="G48" i="1"/>
  <c r="G159" i="1"/>
  <c r="F109" i="1"/>
  <c r="E35" i="1"/>
  <c r="E90" i="1"/>
  <c r="E145" i="1"/>
  <c r="D39" i="1"/>
  <c r="K116" i="1"/>
  <c r="I60" i="1"/>
  <c r="H110" i="1"/>
  <c r="F81" i="1"/>
  <c r="G23" i="1"/>
  <c r="H15" i="1"/>
  <c r="G57" i="1"/>
  <c r="G113" i="1"/>
  <c r="F152" i="1"/>
  <c r="J116" i="1"/>
  <c r="E156" i="1"/>
  <c r="I26" i="1"/>
  <c r="E168" i="1"/>
  <c r="D15" i="1"/>
  <c r="C67" i="1"/>
  <c r="D118" i="1"/>
  <c r="C102" i="1"/>
  <c r="D83" i="1"/>
  <c r="C76" i="1"/>
  <c r="D85" i="1"/>
  <c r="K109" i="1"/>
  <c r="J76" i="1"/>
  <c r="K132" i="1"/>
  <c r="J88" i="1"/>
  <c r="J166" i="1"/>
  <c r="I105" i="1"/>
  <c r="H44" i="1"/>
  <c r="H144" i="1"/>
  <c r="K86" i="1"/>
  <c r="J67" i="1"/>
  <c r="I39" i="1"/>
  <c r="I150" i="1"/>
  <c r="H100" i="1"/>
  <c r="G50" i="1"/>
  <c r="K88" i="1"/>
  <c r="J80" i="1"/>
  <c r="I17" i="1"/>
  <c r="I128" i="1"/>
  <c r="K148" i="1"/>
  <c r="J150" i="1"/>
  <c r="I101" i="1"/>
  <c r="H51" i="1"/>
  <c r="J58" i="1"/>
  <c r="J157" i="1"/>
  <c r="I107" i="1"/>
  <c r="H57" i="1"/>
  <c r="J23" i="1"/>
  <c r="I19" i="1"/>
  <c r="I130" i="1"/>
  <c r="L129" i="1"/>
  <c r="J85" i="1"/>
  <c r="I14" i="1"/>
  <c r="I125" i="1"/>
  <c r="J38" i="1"/>
  <c r="I42" i="1"/>
  <c r="I153" i="1"/>
  <c r="H109" i="1"/>
  <c r="G59" i="1"/>
  <c r="G170" i="1"/>
  <c r="F120" i="1"/>
  <c r="E40" i="1"/>
  <c r="E95" i="1"/>
  <c r="E150" i="1"/>
  <c r="D59" i="1"/>
  <c r="K131" i="1"/>
  <c r="I71" i="1"/>
  <c r="G21" i="1"/>
  <c r="F112" i="1"/>
  <c r="G47" i="1"/>
  <c r="H119" i="1"/>
  <c r="G145" i="1"/>
  <c r="F28" i="1"/>
  <c r="K153" i="1"/>
  <c r="H106" i="1"/>
  <c r="D78" i="1"/>
  <c r="H117" i="1"/>
  <c r="E111" i="1"/>
  <c r="D98" i="1"/>
  <c r="E87" i="1"/>
  <c r="C29" i="1"/>
  <c r="E131" i="1"/>
  <c r="D136" i="1"/>
  <c r="C148" i="1"/>
  <c r="D143" i="1"/>
  <c r="K119" i="1"/>
  <c r="J84" i="1"/>
  <c r="K143" i="1"/>
  <c r="J98" i="1"/>
  <c r="I16" i="1"/>
  <c r="I116" i="1"/>
  <c r="H55" i="1"/>
  <c r="H155" i="1"/>
  <c r="K104" i="1"/>
  <c r="J79" i="1"/>
  <c r="I50" i="1"/>
  <c r="I161" i="1"/>
  <c r="H111" i="1"/>
  <c r="G61" i="1"/>
  <c r="K105" i="1"/>
  <c r="J90" i="1"/>
  <c r="I28" i="1"/>
  <c r="I145" i="1"/>
  <c r="K172" i="1"/>
  <c r="J162" i="1"/>
  <c r="I112" i="1"/>
  <c r="L109" i="1"/>
  <c r="J71" i="1"/>
  <c r="J168" i="1"/>
  <c r="I118" i="1"/>
  <c r="H63" i="1"/>
  <c r="J61" i="1"/>
  <c r="I30" i="1"/>
  <c r="I141" i="1"/>
  <c r="K68" i="1"/>
  <c r="J95" i="1"/>
  <c r="I25" i="1"/>
  <c r="I136" i="1"/>
  <c r="J50" i="1"/>
  <c r="I53" i="1"/>
  <c r="I170" i="1"/>
  <c r="H120" i="1"/>
  <c r="G70" i="1"/>
  <c r="F20" i="1"/>
  <c r="F126" i="1"/>
  <c r="E45" i="1"/>
  <c r="E100" i="1"/>
  <c r="E155" i="1"/>
  <c r="D69" i="1"/>
  <c r="K142" i="1"/>
  <c r="I82" i="1"/>
  <c r="L149" i="1"/>
  <c r="F118" i="1"/>
  <c r="G118" i="1"/>
  <c r="H165" i="1"/>
  <c r="F46" i="1"/>
  <c r="F65" i="1"/>
  <c r="H25" i="1"/>
  <c r="H134" i="1"/>
  <c r="J15" i="1"/>
  <c r="H145" i="1"/>
  <c r="E154" i="1"/>
  <c r="D133" i="1"/>
  <c r="D16" i="1"/>
  <c r="C57" i="1"/>
  <c r="E172" i="1"/>
  <c r="D164" i="1"/>
  <c r="C93" i="1"/>
  <c r="C15" i="1"/>
  <c r="D49" i="1"/>
  <c r="D99" i="1"/>
  <c r="K166" i="1"/>
  <c r="I21" i="1"/>
  <c r="I121" i="1"/>
  <c r="H60" i="1"/>
  <c r="H160" i="1"/>
  <c r="H118" i="1"/>
  <c r="G103" i="1"/>
  <c r="F44" i="1"/>
  <c r="F155" i="1"/>
  <c r="J141" i="1"/>
  <c r="H146" i="1"/>
  <c r="G97" i="1"/>
  <c r="F63" i="1"/>
  <c r="F168" i="1"/>
  <c r="K98" i="1"/>
  <c r="H91" i="1"/>
  <c r="G77" i="1"/>
  <c r="F33" i="1"/>
  <c r="F144" i="1"/>
  <c r="H147" i="1"/>
  <c r="G133" i="1"/>
  <c r="F77" i="1"/>
  <c r="E37" i="1"/>
  <c r="H112" i="1"/>
  <c r="G71" i="1"/>
  <c r="F16" i="1"/>
  <c r="K141" i="1"/>
  <c r="H113" i="1"/>
  <c r="G134" i="1"/>
  <c r="F78" i="1"/>
  <c r="E27" i="1"/>
  <c r="H169" i="1"/>
  <c r="G147" i="1"/>
  <c r="F97" i="1"/>
  <c r="E44" i="1"/>
  <c r="H45" i="1"/>
  <c r="G101" i="1"/>
  <c r="F36" i="1"/>
  <c r="F147" i="1"/>
  <c r="E89" i="1"/>
  <c r="D56" i="1"/>
  <c r="H62" i="1"/>
  <c r="G45" i="1"/>
  <c r="F18" i="1"/>
  <c r="F123" i="1"/>
  <c r="H97" i="1"/>
  <c r="G68" i="1"/>
  <c r="F56" i="1"/>
  <c r="F161" i="1"/>
  <c r="E107" i="1"/>
  <c r="E93" i="1"/>
  <c r="D73" i="1"/>
  <c r="C38" i="1"/>
  <c r="C106" i="1"/>
  <c r="E127" i="1"/>
  <c r="D86" i="1"/>
  <c r="C111" i="1"/>
  <c r="E64" i="1"/>
  <c r="D62" i="1"/>
  <c r="C17" i="1"/>
  <c r="E51" i="1"/>
  <c r="D81" i="1"/>
  <c r="C23" i="1"/>
  <c r="C123" i="1"/>
  <c r="D31" i="1"/>
  <c r="D168" i="1"/>
  <c r="C157" i="1"/>
  <c r="E151" i="1"/>
  <c r="D113" i="1"/>
  <c r="C52" i="1"/>
  <c r="E42" i="1"/>
  <c r="D119" i="1"/>
  <c r="C58" i="1"/>
  <c r="C158" i="1"/>
  <c r="D26" i="1"/>
  <c r="D114" i="1"/>
  <c r="C53" i="1"/>
  <c r="C153" i="1"/>
  <c r="D41" i="1"/>
  <c r="C26" i="1"/>
  <c r="C126" i="1"/>
  <c r="C154" i="1"/>
  <c r="C72" i="1"/>
  <c r="C167" i="1"/>
  <c r="E147" i="1"/>
  <c r="D126" i="1"/>
  <c r="C65" i="1"/>
  <c r="J55" i="1"/>
  <c r="I22" i="1"/>
  <c r="I122" i="1"/>
  <c r="H61" i="1"/>
  <c r="H161" i="1"/>
  <c r="G100" i="1"/>
  <c r="K158" i="1"/>
  <c r="J118" i="1"/>
  <c r="I34" i="1"/>
  <c r="I134" i="1"/>
  <c r="K134" i="1"/>
  <c r="J112" i="1"/>
  <c r="I73" i="1"/>
  <c r="I173" i="1"/>
  <c r="K136" i="1"/>
  <c r="J119" i="1"/>
  <c r="I35" i="1"/>
  <c r="I135" i="1"/>
  <c r="H74" i="1"/>
  <c r="J37" i="1"/>
  <c r="J174" i="1"/>
  <c r="I113" i="1"/>
  <c r="H52" i="1"/>
  <c r="K174" i="1"/>
  <c r="J139" i="1"/>
  <c r="I64" i="1"/>
  <c r="K96" i="1"/>
  <c r="J86" i="1"/>
  <c r="I59" i="1"/>
  <c r="I159" i="1"/>
  <c r="H98" i="1"/>
  <c r="G37" i="1"/>
  <c r="G137" i="1"/>
  <c r="F76" i="1"/>
  <c r="E15" i="1"/>
  <c r="E65" i="1"/>
  <c r="E115" i="1"/>
  <c r="E165" i="1"/>
  <c r="D54" i="1"/>
  <c r="D104" i="1"/>
  <c r="J17" i="1"/>
  <c r="I32" i="1"/>
  <c r="I132" i="1"/>
  <c r="H71" i="1"/>
  <c r="H171" i="1"/>
  <c r="H126" i="1"/>
  <c r="G110" i="1"/>
  <c r="F50" i="1"/>
  <c r="E24" i="1"/>
  <c r="I37" i="1"/>
  <c r="H156" i="1"/>
  <c r="G104" i="1"/>
  <c r="F69" i="1"/>
  <c r="F174" i="1"/>
  <c r="J63" i="1"/>
  <c r="H101" i="1"/>
  <c r="G84" i="1"/>
  <c r="F39" i="1"/>
  <c r="F150" i="1"/>
  <c r="H157" i="1"/>
  <c r="G139" i="1"/>
  <c r="F83" i="1"/>
  <c r="E48" i="1"/>
  <c r="H130" i="1"/>
  <c r="G85" i="1"/>
  <c r="F22" i="1"/>
  <c r="J97" i="1"/>
  <c r="H123" i="1"/>
  <c r="G140" i="1"/>
  <c r="F84" i="1"/>
  <c r="E38" i="1"/>
  <c r="G18" i="1"/>
  <c r="G153" i="1"/>
  <c r="F103" i="1"/>
  <c r="E61" i="1"/>
  <c r="H96" i="1"/>
  <c r="G108" i="1"/>
  <c r="F42" i="1"/>
  <c r="F153" i="1"/>
  <c r="E106" i="1"/>
  <c r="D67" i="1"/>
  <c r="H75" i="1"/>
  <c r="G60" i="1"/>
  <c r="F24" i="1"/>
  <c r="F129" i="1"/>
  <c r="H107" i="1"/>
  <c r="G82" i="1"/>
  <c r="F62" i="1"/>
  <c r="F167" i="1"/>
  <c r="E118" i="1"/>
  <c r="E103" i="1"/>
  <c r="D110" i="1"/>
  <c r="C49" i="1"/>
  <c r="C150" i="1"/>
  <c r="E134" i="1"/>
  <c r="D92" i="1"/>
  <c r="C144" i="1"/>
  <c r="E94" i="1"/>
  <c r="D68" i="1"/>
  <c r="C28" i="1"/>
  <c r="E76" i="1"/>
  <c r="D87" i="1"/>
  <c r="C34" i="1"/>
  <c r="C134" i="1"/>
  <c r="D51" i="1"/>
  <c r="C18" i="1"/>
  <c r="F145" i="1"/>
  <c r="E158" i="1"/>
  <c r="D124" i="1"/>
  <c r="C63" i="1"/>
  <c r="E124" i="1"/>
  <c r="D130" i="1"/>
  <c r="C69" i="1"/>
  <c r="E21" i="1"/>
  <c r="D40" i="1"/>
  <c r="D125" i="1"/>
  <c r="C64" i="1"/>
  <c r="C164" i="1"/>
  <c r="D47" i="1"/>
  <c r="C37" i="1"/>
  <c r="C137" i="1"/>
  <c r="C165" i="1"/>
  <c r="C94" i="1"/>
  <c r="C162" i="1"/>
  <c r="D27" i="1"/>
  <c r="D132" i="1"/>
  <c r="C71" i="1"/>
  <c r="C82" i="1"/>
  <c r="D64" i="1"/>
  <c r="L159" i="1"/>
  <c r="J40" i="1"/>
  <c r="I49" i="1"/>
  <c r="I149" i="1"/>
  <c r="H88" i="1"/>
  <c r="G27" i="1"/>
  <c r="G30" i="1"/>
  <c r="G162" i="1"/>
  <c r="F106" i="1"/>
  <c r="E52" i="1"/>
  <c r="H14" i="1"/>
  <c r="H174" i="1"/>
  <c r="G132" i="1"/>
  <c r="F82" i="1"/>
  <c r="E36" i="1"/>
  <c r="I98" i="1"/>
  <c r="H129" i="1"/>
  <c r="G125" i="1"/>
  <c r="F101" i="1"/>
  <c r="K115" i="1"/>
  <c r="G14" i="1"/>
  <c r="G151" i="1"/>
  <c r="F95" i="1"/>
  <c r="K130" i="1"/>
  <c r="H158" i="1"/>
  <c r="G99" i="1"/>
  <c r="F34" i="1"/>
  <c r="I115" i="1"/>
  <c r="G42" i="1"/>
  <c r="G165" i="1"/>
  <c r="F115" i="1"/>
  <c r="J107" i="1"/>
  <c r="G35" i="1"/>
  <c r="F17" i="1"/>
  <c r="F122" i="1"/>
  <c r="E83" i="1"/>
  <c r="H114" i="1"/>
  <c r="G122" i="1"/>
  <c r="F67" i="1"/>
  <c r="F172" i="1"/>
  <c r="E128" i="1"/>
  <c r="D95" i="1"/>
  <c r="H115" i="1"/>
  <c r="G88" i="1"/>
  <c r="F43" i="1"/>
  <c r="J28" i="1"/>
  <c r="H125" i="1"/>
  <c r="G130" i="1"/>
  <c r="F74" i="1"/>
  <c r="E18" i="1"/>
  <c r="E146" i="1"/>
  <c r="E133" i="1"/>
  <c r="D127" i="1"/>
  <c r="C77" i="1"/>
  <c r="C174" i="1"/>
  <c r="E162" i="1"/>
  <c r="D116" i="1"/>
  <c r="C117" i="1"/>
  <c r="E114" i="1"/>
  <c r="D111" i="1"/>
  <c r="C50" i="1"/>
  <c r="E136" i="1"/>
  <c r="D112" i="1"/>
  <c r="C51" i="1"/>
  <c r="C151" i="1"/>
  <c r="D63" i="1"/>
  <c r="C40" i="1"/>
  <c r="E66" i="1"/>
  <c r="D38" i="1"/>
  <c r="D146" i="1"/>
  <c r="C85" i="1"/>
  <c r="E144" i="1"/>
  <c r="D147" i="1"/>
  <c r="C86" i="1"/>
  <c r="E81" i="1"/>
  <c r="D71" i="1"/>
  <c r="D142" i="1"/>
  <c r="C81" i="1"/>
  <c r="E23" i="1"/>
  <c r="D120" i="1"/>
  <c r="C59" i="1"/>
  <c r="C159" i="1"/>
  <c r="C66" i="1"/>
  <c r="C122" i="1"/>
  <c r="C168" i="1"/>
  <c r="D66" i="1"/>
  <c r="D154" i="1"/>
  <c r="C121" i="1"/>
  <c r="F88" i="1"/>
  <c r="E47" i="1"/>
  <c r="I148" i="1"/>
  <c r="H137" i="1"/>
  <c r="G157" i="1"/>
  <c r="F107" i="1"/>
  <c r="J75" i="1"/>
  <c r="G24" i="1"/>
  <c r="F15" i="1"/>
  <c r="F151" i="1"/>
  <c r="J87" i="1"/>
  <c r="H168" i="1"/>
  <c r="G106" i="1"/>
  <c r="F40" i="1"/>
  <c r="I158" i="1"/>
  <c r="G58" i="1"/>
  <c r="G171" i="1"/>
  <c r="F146" i="1"/>
  <c r="I65" i="1"/>
  <c r="G43" i="1"/>
  <c r="F23" i="1"/>
  <c r="F128" i="1"/>
  <c r="K165" i="1"/>
  <c r="H124" i="1"/>
  <c r="G129" i="1"/>
  <c r="F73" i="1"/>
  <c r="E17" i="1"/>
  <c r="E139" i="1"/>
  <c r="D106" i="1"/>
  <c r="H143" i="1"/>
  <c r="G95" i="1"/>
  <c r="F49" i="1"/>
  <c r="J128" i="1"/>
  <c r="H135" i="1"/>
  <c r="G136" i="1"/>
  <c r="F80" i="1"/>
  <c r="E29" i="1"/>
  <c r="E157" i="1"/>
  <c r="E141" i="1"/>
  <c r="D138" i="1"/>
  <c r="C99" i="1"/>
  <c r="F127" i="1"/>
  <c r="E169" i="1"/>
  <c r="D122" i="1"/>
  <c r="C173" i="1"/>
  <c r="E121" i="1"/>
  <c r="D117" i="1"/>
  <c r="C56" i="1"/>
  <c r="E149" i="1"/>
  <c r="D123" i="1"/>
  <c r="C62" i="1"/>
  <c r="C140" i="1"/>
  <c r="D100" i="1"/>
  <c r="C46" i="1"/>
  <c r="E77" i="1"/>
  <c r="D70" i="1"/>
  <c r="D152" i="1"/>
  <c r="C91" i="1"/>
  <c r="E152" i="1"/>
  <c r="D158" i="1"/>
  <c r="C97" i="1"/>
  <c r="E99" i="1"/>
  <c r="D77" i="1"/>
  <c r="D153" i="1"/>
  <c r="C92" i="1"/>
  <c r="E92" i="1"/>
  <c r="D131" i="1"/>
  <c r="C70" i="1"/>
  <c r="C170" i="1"/>
  <c r="C116" i="1"/>
  <c r="C133" i="1"/>
  <c r="C152" i="1"/>
  <c r="D72" i="1"/>
  <c r="D165" i="1"/>
  <c r="C88" i="1"/>
  <c r="C110" i="1"/>
  <c r="H21" i="1"/>
  <c r="H121" i="1"/>
  <c r="J134" i="1"/>
  <c r="G54" i="1"/>
  <c r="F19" i="1"/>
  <c r="F124" i="1"/>
  <c r="E91" i="1"/>
  <c r="H67" i="1"/>
  <c r="G69" i="1"/>
  <c r="G150" i="1"/>
  <c r="F100" i="1"/>
  <c r="E69" i="1"/>
  <c r="H36" i="1"/>
  <c r="G32" i="1"/>
  <c r="G169" i="1"/>
  <c r="F119" i="1"/>
  <c r="I48" i="1"/>
  <c r="G91" i="1"/>
  <c r="F52" i="1"/>
  <c r="F163" i="1"/>
  <c r="I54" i="1"/>
  <c r="G34" i="1"/>
  <c r="G127" i="1"/>
  <c r="F96" i="1"/>
  <c r="H73" i="1"/>
  <c r="G72" i="1"/>
  <c r="F47" i="1"/>
  <c r="F158" i="1"/>
  <c r="H43" i="1"/>
  <c r="G73" i="1"/>
  <c r="F35" i="1"/>
  <c r="F140" i="1"/>
  <c r="I15" i="1"/>
  <c r="G52" i="1"/>
  <c r="G141" i="1"/>
  <c r="F85" i="1"/>
  <c r="E39" i="1"/>
  <c r="E167" i="1"/>
  <c r="J122" i="1"/>
  <c r="H162" i="1"/>
  <c r="G123" i="1"/>
  <c r="F86" i="1"/>
  <c r="I137" i="1"/>
  <c r="H153" i="1"/>
  <c r="G149" i="1"/>
  <c r="F99" i="1"/>
  <c r="E57" i="1"/>
  <c r="D18" i="1"/>
  <c r="E161" i="1"/>
  <c r="D160" i="1"/>
  <c r="D155" i="1"/>
  <c r="E62" i="1"/>
  <c r="D36" i="1"/>
  <c r="D144" i="1"/>
  <c r="C163" i="1"/>
  <c r="E163" i="1"/>
  <c r="D139" i="1"/>
  <c r="C156" i="1"/>
  <c r="D23" i="1"/>
  <c r="D145" i="1"/>
  <c r="C84" i="1"/>
  <c r="E122" i="1"/>
  <c r="D129" i="1"/>
  <c r="C68" i="1"/>
  <c r="E98" i="1"/>
  <c r="D82" i="1"/>
  <c r="D174" i="1"/>
  <c r="C113" i="1"/>
  <c r="D32" i="1"/>
  <c r="C19" i="1"/>
  <c r="C119" i="1"/>
  <c r="E138" i="1"/>
  <c r="D90" i="1"/>
  <c r="C14" i="1"/>
  <c r="C114" i="1"/>
  <c r="E153" i="1"/>
  <c r="D148" i="1"/>
  <c r="C87" i="1"/>
  <c r="C104" i="1"/>
  <c r="C160" i="1"/>
  <c r="C89" i="1"/>
  <c r="E82" i="1"/>
  <c r="D91" i="1"/>
  <c r="C21" i="1"/>
  <c r="C149" i="1"/>
  <c r="H32" i="1"/>
  <c r="H132" i="1"/>
  <c r="I87" i="1"/>
  <c r="G62" i="1"/>
  <c r="F25" i="1"/>
  <c r="F130" i="1"/>
  <c r="E102" i="1"/>
  <c r="H79" i="1"/>
  <c r="G76" i="1"/>
  <c r="G156" i="1"/>
  <c r="F131" i="1"/>
  <c r="E86" i="1"/>
  <c r="H54" i="1"/>
  <c r="G40" i="1"/>
  <c r="F14" i="1"/>
  <c r="F125" i="1"/>
  <c r="I104" i="1"/>
  <c r="G105" i="1"/>
  <c r="F58" i="1"/>
  <c r="F169" i="1"/>
  <c r="I154" i="1"/>
  <c r="G41" i="1"/>
  <c r="G152" i="1"/>
  <c r="F102" i="1"/>
  <c r="H84" i="1"/>
  <c r="G79" i="1"/>
  <c r="F53" i="1"/>
  <c r="F164" i="1"/>
  <c r="H104" i="1"/>
  <c r="G86" i="1"/>
  <c r="F54" i="1"/>
  <c r="F165" i="1"/>
  <c r="I126" i="1"/>
  <c r="G66" i="1"/>
  <c r="G154" i="1"/>
  <c r="F104" i="1"/>
  <c r="E56" i="1"/>
  <c r="D17" i="1"/>
  <c r="I76" i="1"/>
  <c r="G19" i="1"/>
  <c r="G142" i="1"/>
  <c r="F92" i="1"/>
  <c r="H64" i="1"/>
  <c r="H163" i="1"/>
  <c r="G155" i="1"/>
  <c r="F105" i="1"/>
  <c r="E68" i="1"/>
  <c r="D35" i="1"/>
  <c r="D21" i="1"/>
  <c r="D171" i="1"/>
  <c r="C83" i="1"/>
  <c r="E73" i="1"/>
  <c r="D55" i="1"/>
  <c r="D166" i="1"/>
  <c r="F133" i="1"/>
  <c r="D22" i="1"/>
  <c r="D150" i="1"/>
  <c r="C129" i="1"/>
  <c r="D37" i="1"/>
  <c r="D156" i="1"/>
  <c r="C95" i="1"/>
  <c r="E143" i="1"/>
  <c r="D140" i="1"/>
  <c r="C79" i="1"/>
  <c r="E116" i="1"/>
  <c r="D88" i="1"/>
  <c r="C24" i="1"/>
  <c r="C124" i="1"/>
  <c r="D46" i="1"/>
  <c r="C30" i="1"/>
  <c r="C130" i="1"/>
  <c r="E159" i="1"/>
  <c r="D96" i="1"/>
  <c r="C25" i="1"/>
  <c r="C125" i="1"/>
  <c r="E174" i="1"/>
  <c r="D159" i="1"/>
  <c r="C98" i="1"/>
  <c r="C115" i="1"/>
  <c r="C22" i="1"/>
  <c r="C100" i="1"/>
  <c r="E101" i="1"/>
  <c r="D97" i="1"/>
  <c r="C32" i="1"/>
  <c r="C166" i="1"/>
  <c r="H38" i="1"/>
  <c r="H138" i="1"/>
  <c r="H65" i="1"/>
  <c r="G75" i="1"/>
  <c r="F32" i="1"/>
  <c r="F143" i="1"/>
  <c r="E113" i="1"/>
  <c r="H90" i="1"/>
  <c r="G83" i="1"/>
  <c r="F51" i="1"/>
  <c r="F156" i="1"/>
  <c r="E97" i="1"/>
  <c r="H68" i="1"/>
  <c r="G56" i="1"/>
  <c r="F21" i="1"/>
  <c r="F132" i="1"/>
  <c r="H37" i="1"/>
  <c r="G119" i="1"/>
  <c r="F64" i="1"/>
  <c r="E14" i="1"/>
  <c r="H93" i="1"/>
  <c r="G49" i="1"/>
  <c r="G158" i="1"/>
  <c r="F108" i="1"/>
  <c r="H95" i="1"/>
  <c r="G93" i="1"/>
  <c r="F66" i="1"/>
  <c r="F171" i="1"/>
  <c r="H141" i="1"/>
  <c r="G114" i="1"/>
  <c r="F60" i="1"/>
  <c r="E22" i="1"/>
  <c r="I164" i="1"/>
  <c r="G80" i="1"/>
  <c r="G160" i="1"/>
  <c r="F110" i="1"/>
  <c r="E67" i="1"/>
  <c r="D28" i="1"/>
  <c r="I165" i="1"/>
  <c r="G29" i="1"/>
  <c r="G167" i="1"/>
  <c r="F111" i="1"/>
  <c r="H76" i="1"/>
  <c r="H173" i="1"/>
  <c r="G161" i="1"/>
  <c r="F136" i="1"/>
  <c r="E79" i="1"/>
  <c r="F121" i="1"/>
  <c r="D42" i="1"/>
  <c r="C16" i="1"/>
  <c r="C155" i="1"/>
  <c r="E84" i="1"/>
  <c r="D61" i="1"/>
  <c r="D172" i="1"/>
  <c r="E34" i="1"/>
  <c r="D30" i="1"/>
  <c r="D161" i="1"/>
  <c r="C169" i="1"/>
  <c r="D50" i="1"/>
  <c r="D162" i="1"/>
  <c r="C101" i="1"/>
  <c r="E164" i="1"/>
  <c r="D151" i="1"/>
  <c r="C90" i="1"/>
  <c r="E123" i="1"/>
  <c r="D101" i="1"/>
  <c r="C35" i="1"/>
  <c r="C135" i="1"/>
  <c r="D52" i="1"/>
  <c r="C36" i="1"/>
  <c r="C136" i="1"/>
  <c r="E166" i="1"/>
  <c r="D102" i="1"/>
  <c r="C31" i="1"/>
  <c r="C131" i="1"/>
  <c r="D20" i="1"/>
  <c r="D170" i="1"/>
  <c r="C109" i="1"/>
  <c r="C132" i="1"/>
  <c r="C44" i="1"/>
  <c r="C128" i="1"/>
  <c r="E119" i="1"/>
  <c r="D103" i="1"/>
  <c r="C43" i="1"/>
  <c r="C33" i="1"/>
  <c r="D44" i="1"/>
  <c r="D94" i="1"/>
  <c r="K155" i="1"/>
  <c r="J171" i="1"/>
  <c r="I110" i="1"/>
  <c r="H49" i="1"/>
  <c r="H149" i="1"/>
  <c r="H108" i="1"/>
  <c r="G96" i="1"/>
  <c r="F38" i="1"/>
  <c r="F149" i="1"/>
  <c r="K82" i="1"/>
  <c r="H136" i="1"/>
  <c r="G90" i="1"/>
  <c r="F57" i="1"/>
  <c r="F162" i="1"/>
  <c r="E108" i="1"/>
  <c r="H80" i="1"/>
  <c r="G63" i="1"/>
  <c r="F27" i="1"/>
  <c r="F138" i="1"/>
  <c r="H56" i="1"/>
  <c r="G126" i="1"/>
  <c r="F71" i="1"/>
  <c r="E26" i="1"/>
  <c r="H102" i="1"/>
  <c r="G64" i="1"/>
  <c r="G164" i="1"/>
  <c r="F114" i="1"/>
  <c r="H103" i="1"/>
  <c r="G107" i="1"/>
  <c r="F72" i="1"/>
  <c r="E16" i="1"/>
  <c r="H151" i="1"/>
  <c r="G121" i="1"/>
  <c r="F91" i="1"/>
  <c r="E33" i="1"/>
  <c r="H26" i="1"/>
  <c r="G94" i="1"/>
  <c r="G166" i="1"/>
  <c r="F141" i="1"/>
  <c r="E78" i="1"/>
  <c r="D45" i="1"/>
  <c r="H47" i="1"/>
  <c r="G36" i="1"/>
  <c r="G173" i="1"/>
  <c r="F117" i="1"/>
  <c r="H87" i="1"/>
  <c r="G53" i="1"/>
  <c r="F31" i="1"/>
  <c r="F142" i="1"/>
  <c r="E96" i="1"/>
  <c r="F160" i="1"/>
  <c r="D48" i="1"/>
  <c r="C27" i="1"/>
  <c r="C172" i="1"/>
  <c r="E112" i="1"/>
  <c r="D80" i="1"/>
  <c r="C55" i="1"/>
  <c r="E49" i="1"/>
  <c r="D43" i="1"/>
  <c r="D167" i="1"/>
  <c r="F139" i="1"/>
  <c r="D75" i="1"/>
  <c r="D173" i="1"/>
  <c r="C112" i="1"/>
  <c r="E171" i="1"/>
  <c r="D157" i="1"/>
  <c r="C96" i="1"/>
  <c r="E137" i="1"/>
  <c r="D107" i="1"/>
  <c r="C41" i="1"/>
  <c r="C141" i="1"/>
  <c r="D58" i="1"/>
  <c r="C47" i="1"/>
  <c r="C147" i="1"/>
  <c r="E173" i="1"/>
  <c r="D108" i="1"/>
  <c r="C42" i="1"/>
  <c r="C142" i="1"/>
  <c r="D33" i="1"/>
  <c r="C20" i="1"/>
  <c r="C120" i="1"/>
  <c r="C143" i="1"/>
  <c r="C61" i="1"/>
  <c r="C139" i="1"/>
  <c r="E126" i="1"/>
  <c r="D115" i="1"/>
  <c r="C5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96">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futureMetadata>
  <cellMetadata count="1">
    <bk>
      <rc t="1" v="0"/>
    </bk>
  </cellMetadata>
  <valueMetadata count="49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valueMetadata>
</metadata>
</file>

<file path=xl/sharedStrings.xml><?xml version="1.0" encoding="utf-8"?>
<sst xmlns="http://schemas.openxmlformats.org/spreadsheetml/2006/main" count="25" uniqueCount="25">
  <si>
    <t>Strike Price</t>
  </si>
  <si>
    <t>Call</t>
  </si>
  <si>
    <t>Put</t>
  </si>
  <si>
    <t>Gamma</t>
  </si>
  <si>
    <t>Vega</t>
  </si>
  <si>
    <t>Stock Price (S)</t>
  </si>
  <si>
    <t>RF Rate (r)*</t>
  </si>
  <si>
    <t>Dvd Yield (q)</t>
  </si>
  <si>
    <t>Expiration (t)</t>
  </si>
  <si>
    <t>Volatility (v)</t>
  </si>
  <si>
    <t>Call Price</t>
  </si>
  <si>
    <t>Put Price</t>
  </si>
  <si>
    <t>Call Delta</t>
  </si>
  <si>
    <t>Put Delta</t>
  </si>
  <si>
    <t>Call Theta</t>
  </si>
  <si>
    <t>Put Theta</t>
  </si>
  <si>
    <t>Call Rho</t>
  </si>
  <si>
    <t>Put Rho</t>
  </si>
  <si>
    <t>After Filling The Parameters, ctrl + g to calculate</t>
  </si>
  <si>
    <t>For T, 1 is equal to 1 year, 0 is equal to 0 years</t>
  </si>
  <si>
    <t>1yr Treasury Bill</t>
  </si>
  <si>
    <t>Enter Ticker Here</t>
  </si>
  <si>
    <t>Once the screen appears, ctrl+q to create graphs</t>
  </si>
  <si>
    <t>Calculated standard deviation of log from a years prices From STOCKHISTORY function</t>
  </si>
  <si>
    <t>**NEED TO AUTOMATE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</si>
</sst>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000000"/>
    <numFmt numFmtId="165" formatCode="_([$$-409]* #,##0.00_);_([$$-409]* \(#,##0.00\);_([$$-409]* &quot;-&quot;??_);_(@_)"/>
    <numFmt numFmtId="166" formatCode="0.000"/>
    <numFmt numFmtId="167" formatCode="#,##0.000000;\(#,##0.000000\)"/>
    <numFmt numFmtId="168" formatCode="0.000%;\(0.000%\)"/>
    <numFmt numFmtId="169" formatCode="#,##0.0000;\(#,##0.0000\)"/>
    <numFmt numFmtId="170" formatCode="0.0000"/>
  </numFmts>
  <fonts count="5" x14ac:knownFonts="1">
    <font>
      <sz val="11"/>
      <color theme="1"/>
      <name val="Aptos Narrow"/>
      <family val="2"/>
      <scheme val="minor"/>
    </font>
    <font>
      <sz val="11"/>
      <color theme="1"/>
      <name val="Aptos Narrow"/>
      <family val="2"/>
      <scheme val="minor"/>
    </font>
    <font>
      <b/>
      <sz val="11"/>
      <color theme="0"/>
      <name val="Aptos Narrow"/>
      <family val="2"/>
      <scheme val="minor"/>
    </font>
    <font>
      <sz val="11"/>
      <color theme="0" tint="-0.499984740745262"/>
      <name val="Aptos Narrow"/>
      <family val="2"/>
      <scheme val="minor"/>
    </font>
    <font>
      <b/>
      <sz val="11"/>
      <color theme="1"/>
      <name val="Aptos Narrow"/>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4"/>
        <bgColor indexed="64"/>
      </patternFill>
    </fill>
    <fill>
      <patternFill patternType="solid">
        <fgColor theme="0" tint="-0.499984740745262"/>
        <bgColor indexed="64"/>
      </patternFill>
    </fill>
  </fills>
  <borders count="4">
    <border>
      <left/>
      <right/>
      <top/>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9" fontId="0" fillId="2" borderId="2" xfId="0" applyNumberFormat="1" applyFill="1" applyBorder="1" applyAlignment="1">
      <alignment horizontal="center"/>
    </xf>
    <xf numFmtId="2" fontId="0" fillId="2" borderId="3" xfId="0" applyNumberFormat="1" applyFill="1" applyBorder="1" applyAlignment="1">
      <alignment horizontal="center"/>
    </xf>
    <xf numFmtId="164" fontId="0" fillId="0" borderId="0" xfId="0" applyNumberFormat="1"/>
    <xf numFmtId="165" fontId="0" fillId="2" borderId="1" xfId="0" applyNumberFormat="1" applyFill="1" applyBorder="1" applyAlignment="1">
      <alignment horizontal="center"/>
    </xf>
    <xf numFmtId="166" fontId="0" fillId="0" borderId="0" xfId="0" applyNumberFormat="1"/>
    <xf numFmtId="167" fontId="0" fillId="0" borderId="0" xfId="0" applyNumberFormat="1"/>
    <xf numFmtId="0" fontId="0" fillId="0" borderId="0" xfId="0" applyAlignment="1">
      <alignment horizontal="center" vertical="center"/>
    </xf>
    <xf numFmtId="0" fontId="2" fillId="3" borderId="0" xfId="0" applyFont="1" applyFill="1" applyAlignment="1">
      <alignment horizontal="center" vertical="center"/>
    </xf>
    <xf numFmtId="168" fontId="0" fillId="0" borderId="0" xfId="1" applyNumberFormat="1" applyFont="1"/>
    <xf numFmtId="166" fontId="0" fillId="0" borderId="0" xfId="0" applyNumberFormat="1" applyAlignment="1">
      <alignment horizontal="center" vertical="center"/>
    </xf>
    <xf numFmtId="168" fontId="0" fillId="0" borderId="0" xfId="1" applyNumberFormat="1" applyFont="1" applyAlignment="1">
      <alignment horizontal="center" vertical="center"/>
    </xf>
    <xf numFmtId="0" fontId="0" fillId="4" borderId="0" xfId="0" applyFill="1"/>
    <xf numFmtId="166" fontId="0" fillId="4" borderId="0" xfId="0" applyNumberFormat="1" applyFill="1"/>
    <xf numFmtId="0" fontId="3" fillId="4" borderId="0" xfId="0" applyFont="1" applyFill="1"/>
    <xf numFmtId="166" fontId="4" fillId="0" borderId="0" xfId="0" applyNumberFormat="1" applyFont="1"/>
    <xf numFmtId="14" fontId="3" fillId="4" borderId="0" xfId="0" applyNumberFormat="1" applyFont="1" applyFill="1"/>
    <xf numFmtId="169" fontId="0" fillId="0" borderId="0" xfId="0" applyNumberFormat="1" applyAlignment="1">
      <alignment horizontal="center" vertical="center"/>
    </xf>
    <xf numFmtId="169" fontId="0" fillId="0" borderId="0" xfId="0" applyNumberFormat="1"/>
    <xf numFmtId="17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Array" Target="richData/rdarray.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styles" Target="styles.xml"/><Relationship Id="rId7" Type="http://schemas.microsoft.com/office/2017/06/relationships/rdRichValueStructure" Target="richData/rdrichvaluestructure.xml"/><Relationship Id="rId12" Type="http://schemas.microsoft.com/office/2017/06/relationships/rdRichValueTypes" Target="richData/rdRichValueTypes.xml"/><Relationship Id="rId17" Type="http://schemas.openxmlformats.org/officeDocument/2006/relationships/customXml" Target="../customXml/item4.xml"/><Relationship Id="rId2" Type="http://schemas.openxmlformats.org/officeDocument/2006/relationships/theme" Target="theme/theme1.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SupportingPropertyBag" Target="richData/rdsupportingpropertybag.xml"/><Relationship Id="rId5" Type="http://schemas.openxmlformats.org/officeDocument/2006/relationships/sheetMetadata" Target="metadata.xml"/><Relationship Id="rId15" Type="http://schemas.openxmlformats.org/officeDocument/2006/relationships/customXml" Target="../customXml/item2.xml"/><Relationship Id="rId10" Type="http://schemas.microsoft.com/office/2017/06/relationships/rdSupportingPropertyBagStructure" Target="richData/rdsupportingpropertybagstructure.xml"/><Relationship Id="rId4" Type="http://schemas.openxmlformats.org/officeDocument/2006/relationships/sharedStrings" Target="sharedStrings.xml"/><Relationship Id="rId9" Type="http://schemas.microsoft.com/office/2017/06/relationships/richStyles" Target="richData/richStyles.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Option Prices</a:t>
            </a:r>
          </a:p>
        </c:rich>
      </c:tx>
      <c:overlay val="0"/>
    </c:title>
    <c:autoTitleDeleted val="0"/>
    <c:plotArea>
      <c:layout/>
      <c:lineChart>
        <c:grouping val="standard"/>
        <c:varyColors val="0"/>
        <c:ser>
          <c:idx val="0"/>
          <c:order val="0"/>
          <c:tx>
            <c:v>Call Price</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Model'!$C$13:$C$174</c:f>
              <c:numCache>
                <c:formatCode>0.000</c:formatCode>
                <c:ptCount val="162"/>
                <c:pt idx="0">
                  <c:v>66.84958171820989</c:v>
                </c:pt>
                <c:pt idx="1">
                  <c:v>66.210667532273419</c:v>
                </c:pt>
                <c:pt idx="2">
                  <c:v>65.577772270684775</c:v>
                </c:pt>
                <c:pt idx="3">
                  <c:v>64.950865857081723</c:v>
                </c:pt>
                <c:pt idx="4">
                  <c:v>64.329917020852747</c:v>
                </c:pt>
                <c:pt idx="5">
                  <c:v>63.714893368358027</c:v>
                </c:pt>
                <c:pt idx="6">
                  <c:v>63.105761451477754</c:v>
                </c:pt>
                <c:pt idx="7">
                  <c:v>62.502486833554315</c:v>
                </c:pt>
                <c:pt idx="8">
                  <c:v>61.905034152796219</c:v>
                </c:pt>
                <c:pt idx="9">
                  <c:v>61.313367183211291</c:v>
                </c:pt>
                <c:pt idx="10">
                  <c:v>60.727448893138217</c:v>
                </c:pt>
                <c:pt idx="11">
                  <c:v>60.147241501445265</c:v>
                </c:pt>
                <c:pt idx="12">
                  <c:v>59.572706531464014</c:v>
                </c:pt>
                <c:pt idx="13">
                  <c:v>59.003804862727165</c:v>
                </c:pt>
                <c:pt idx="14">
                  <c:v>58.440496780577291</c:v>
                </c:pt>
                <c:pt idx="15">
                  <c:v>57.882742023714044</c:v>
                </c:pt>
                <c:pt idx="16">
                  <c:v>57.330499829745406</c:v>
                </c:pt>
                <c:pt idx="17">
                  <c:v>56.783728978808114</c:v>
                </c:pt>
                <c:pt idx="18">
                  <c:v>56.242387835321452</c:v>
                </c:pt>
                <c:pt idx="19">
                  <c:v>55.70643438793671</c:v>
                </c:pt>
                <c:pt idx="20">
                  <c:v>55.17582628774435</c:v>
                </c:pt>
                <c:pt idx="21">
                  <c:v>54.650520884798503</c:v>
                </c:pt>
                <c:pt idx="22">
                  <c:v>54.1304752630179</c:v>
                </c:pt>
                <c:pt idx="23">
                  <c:v>53.615646273520952</c:v>
                </c:pt>
                <c:pt idx="24">
                  <c:v>53.105990566450046</c:v>
                </c:pt>
                <c:pt idx="25">
                  <c:v>52.601464621340888</c:v>
                </c:pt>
                <c:pt idx="26">
                  <c:v>52.102024776088712</c:v>
                </c:pt>
                <c:pt idx="27">
                  <c:v>51.607627254563802</c:v>
                </c:pt>
                <c:pt idx="28">
                  <c:v>51.118228192926317</c:v>
                </c:pt>
                <c:pt idx="29">
                  <c:v>50.633783664688806</c:v>
                </c:pt>
                <c:pt idx="30">
                  <c:v>50.154249704573964</c:v>
                </c:pt>
                <c:pt idx="31">
                  <c:v>49.679582331213425</c:v>
                </c:pt>
                <c:pt idx="32">
                  <c:v>49.209737568731853</c:v>
                </c:pt>
                <c:pt idx="33">
                  <c:v>48.744671467259494</c:v>
                </c:pt>
                <c:pt idx="34">
                  <c:v>48.284340122414548</c:v>
                </c:pt>
                <c:pt idx="35">
                  <c:v>47.82869969379594</c:v>
                </c:pt>
                <c:pt idx="36">
                  <c:v>47.377706422525314</c:v>
                </c:pt>
                <c:pt idx="37">
                  <c:v>46.931316647875668</c:v>
                </c:pt>
                <c:pt idx="38">
                  <c:v>46.489486823023519</c:v>
                </c:pt>
                <c:pt idx="39">
                  <c:v>46.052173529959141</c:v>
                </c:pt>
                <c:pt idx="40">
                  <c:v>45.619333493589259</c:v>
                </c:pt>
                <c:pt idx="41">
                  <c:v>45.190923595064604</c:v>
                </c:pt>
                <c:pt idx="42">
                  <c:v>44.766900884364176</c:v>
                </c:pt>
                <c:pt idx="43">
                  <c:v>44.347222592166531</c:v>
                </c:pt>
                <c:pt idx="44">
                  <c:v>43.931846141037497</c:v>
                </c:pt>
                <c:pt idx="45">
                  <c:v>43.520729155962677</c:v>
                </c:pt>
                <c:pt idx="46">
                  <c:v>43.113829474251972</c:v>
                </c:pt>
                <c:pt idx="47">
                  <c:v>42.711105154842478</c:v>
                </c:pt>
                <c:pt idx="48">
                  <c:v>42.312514487025098</c:v>
                </c:pt>
                <c:pt idx="49">
                  <c:v>41.918015998619126</c:v>
                </c:pt>
                <c:pt idx="50">
                  <c:v>41.527568463618529</c:v>
                </c:pt>
                <c:pt idx="51">
                  <c:v>41.141130909332311</c:v>
                </c:pt>
                <c:pt idx="52">
                  <c:v>40.758662623040834</c:v>
                </c:pt>
                <c:pt idx="53">
                  <c:v>40.380123158188987</c:v>
                </c:pt>
                <c:pt idx="54">
                  <c:v>40.005472340136286</c:v>
                </c:pt>
                <c:pt idx="55">
                  <c:v>39.634670271483593</c:v>
                </c:pt>
                <c:pt idx="56">
                  <c:v>39.267677336994574</c:v>
                </c:pt>
                <c:pt idx="57">
                  <c:v>38.904454208130119</c:v>
                </c:pt>
                <c:pt idx="58">
                  <c:v>38.54496184721318</c:v>
                </c:pt>
                <c:pt idx="59">
                  <c:v>38.189161511239782</c:v>
                </c:pt>
                <c:pt idx="60">
                  <c:v>37.83701475535316</c:v>
                </c:pt>
                <c:pt idx="61">
                  <c:v>37.488483435995519</c:v>
                </c:pt>
                <c:pt idx="62">
                  <c:v>37.143529713752265</c:v>
                </c:pt>
                <c:pt idx="63">
                  <c:v>36.80211605590322</c:v>
                </c:pt>
                <c:pt idx="64">
                  <c:v>36.464205238693751</c:v>
                </c:pt>
                <c:pt idx="65">
                  <c:v>36.129760349339335</c:v>
                </c:pt>
                <c:pt idx="66">
                  <c:v>35.79874478777581</c:v>
                </c:pt>
                <c:pt idx="67">
                  <c:v>35.471122268167314</c:v>
                </c:pt>
                <c:pt idx="68">
                  <c:v>35.146856820183501</c:v>
                </c:pt>
                <c:pt idx="69">
                  <c:v>34.825912790057053</c:v>
                </c:pt>
                <c:pt idx="70">
                  <c:v>34.508254841432084</c:v>
                </c:pt>
                <c:pt idx="71">
                  <c:v>34.19384795601362</c:v>
                </c:pt>
                <c:pt idx="72">
                  <c:v>33.882657434027969</c:v>
                </c:pt>
                <c:pt idx="73">
                  <c:v>33.574648894503227</c:v>
                </c:pt>
                <c:pt idx="74">
                  <c:v>33.269788275379</c:v>
                </c:pt>
                <c:pt idx="75">
                  <c:v>32.968041833454031</c:v>
                </c:pt>
                <c:pt idx="76">
                  <c:v>32.669376144179836</c:v>
                </c:pt>
                <c:pt idx="77">
                  <c:v>32.373758101308255</c:v>
                </c:pt>
                <c:pt idx="78">
                  <c:v>32.08115491640077</c:v>
                </c:pt>
                <c:pt idx="79">
                  <c:v>31.791534118206535</c:v>
                </c:pt>
                <c:pt idx="80">
                  <c:v>31.504863551916515</c:v>
                </c:pt>
                <c:pt idx="81">
                  <c:v>31.221111378299703</c:v>
                </c:pt>
                <c:pt idx="82">
                  <c:v>30.940246072728868</c:v>
                </c:pt>
                <c:pt idx="83">
                  <c:v>30.662236424100833</c:v>
                </c:pt>
                <c:pt idx="84">
                  <c:v>30.38705153365828</c:v>
                </c:pt>
                <c:pt idx="85">
                  <c:v>30.114660813717443</c:v>
                </c:pt>
                <c:pt idx="86">
                  <c:v>29.8450339863086</c:v>
                </c:pt>
                <c:pt idx="87">
                  <c:v>29.578141081732973</c:v>
                </c:pt>
                <c:pt idx="88">
                  <c:v>29.313952437042204</c:v>
                </c:pt>
                <c:pt idx="89">
                  <c:v>29.05243869444444</c:v>
                </c:pt>
                <c:pt idx="90">
                  <c:v>28.79357079964182</c:v>
                </c:pt>
                <c:pt idx="91">
                  <c:v>28.537320000103591</c:v>
                </c:pt>
                <c:pt idx="92">
                  <c:v>28.283657843279016</c:v>
                </c:pt>
                <c:pt idx="93">
                  <c:v>28.032556174754276</c:v>
                </c:pt>
                <c:pt idx="94">
                  <c:v>27.783987136356593</c:v>
                </c:pt>
                <c:pt idx="95">
                  <c:v>27.537923164209722</c:v>
                </c:pt>
                <c:pt idx="96">
                  <c:v>27.29433698674422</c:v>
                </c:pt>
                <c:pt idx="97">
                  <c:v>27.053201622665419</c:v>
                </c:pt>
                <c:pt idx="98">
                  <c:v>26.814490378882631</c:v>
                </c:pt>
                <c:pt idx="99">
                  <c:v>26.578176848402578</c:v>
                </c:pt>
                <c:pt idx="100">
                  <c:v>26.344234908189691</c:v>
                </c:pt>
                <c:pt idx="101">
                  <c:v>26.11263871699628</c:v>
                </c:pt>
                <c:pt idx="102">
                  <c:v>25.883362713165099</c:v>
                </c:pt>
                <c:pt idx="103">
                  <c:v>25.656381612406818</c:v>
                </c:pt>
                <c:pt idx="104">
                  <c:v>25.431670405554797</c:v>
                </c:pt>
                <c:pt idx="105">
                  <c:v>25.209204356299445</c:v>
                </c:pt>
                <c:pt idx="106">
                  <c:v>24.988958998904387</c:v>
                </c:pt>
                <c:pt idx="107">
                  <c:v>24.770910135906448</c:v>
                </c:pt>
                <c:pt idx="108">
                  <c:v>24.55503383580146</c:v>
                </c:pt>
                <c:pt idx="109">
                  <c:v>24.341306430717729</c:v>
                </c:pt>
                <c:pt idx="110">
                  <c:v>24.129704514079158</c:v>
                </c:pt>
                <c:pt idx="111">
                  <c:v>23.920204938259374</c:v>
                </c:pt>
                <c:pt idx="112">
                  <c:v>23.712784812228804</c:v>
                </c:pt>
                <c:pt idx="113">
                  <c:v>23.507421499196177</c:v>
                </c:pt>
                <c:pt idx="114">
                  <c:v>23.304092614245747</c:v>
                </c:pt>
                <c:pt idx="115">
                  <c:v>23.102776021971863</c:v>
                </c:pt>
                <c:pt idx="116">
                  <c:v>22.903449834112024</c:v>
                </c:pt>
                <c:pt idx="117">
                  <c:v>22.706092407179895</c:v>
                </c:pt>
                <c:pt idx="118">
                  <c:v>22.510682340099279</c:v>
                </c:pt>
                <c:pt idx="119">
                  <c:v>22.317198471840214</c:v>
                </c:pt>
                <c:pt idx="120">
                  <c:v>22.125619879058334</c:v>
                </c:pt>
                <c:pt idx="121">
                  <c:v>21.93592587373864</c:v>
                </c:pt>
                <c:pt idx="122">
                  <c:v>21.748096000844214</c:v>
                </c:pt>
                <c:pt idx="123">
                  <c:v>21.56211003597133</c:v>
                </c:pt>
                <c:pt idx="124">
                  <c:v>21.377947983011417</c:v>
                </c:pt>
                <c:pt idx="125">
                  <c:v>21.195590071820938</c:v>
                </c:pt>
                <c:pt idx="126">
                  <c:v>21.015016755899723</c:v>
                </c:pt>
                <c:pt idx="127">
                  <c:v>20.836208710078822</c:v>
                </c:pt>
                <c:pt idx="128">
                  <c:v>20.65914682821807</c:v>
                </c:pt>
                <c:pt idx="129">
                  <c:v>20.483812220914622</c:v>
                </c:pt>
                <c:pt idx="130">
                  <c:v>20.310186213222572</c:v>
                </c:pt>
                <c:pt idx="131">
                  <c:v>20.138250342384239</c:v>
                </c:pt>
                <c:pt idx="132">
                  <c:v>19.967986355574148</c:v>
                </c:pt>
                <c:pt idx="133">
                  <c:v>19.799376207655641</c:v>
                </c:pt>
                <c:pt idx="134">
                  <c:v>19.632402058950817</c:v>
                </c:pt>
                <c:pt idx="135">
                  <c:v>19.467046273024366</c:v>
                </c:pt>
                <c:pt idx="136">
                  <c:v>19.303291414481492</c:v>
                </c:pt>
                <c:pt idx="137">
                  <c:v>19.141120246780353</c:v>
                </c:pt>
                <c:pt idx="138">
                  <c:v>18.98051573005943</c:v>
                </c:pt>
                <c:pt idx="139">
                  <c:v>18.821461018980308</c:v>
                </c:pt>
                <c:pt idx="140">
                  <c:v>18.663939460585702</c:v>
                </c:pt>
                <c:pt idx="141">
                  <c:v>18.507934592173513</c:v>
                </c:pt>
                <c:pt idx="142">
                  <c:v>18.35343013918699</c:v>
                </c:pt>
                <c:pt idx="143">
                  <c:v>18.200410013121008</c:v>
                </c:pt>
                <c:pt idx="144">
                  <c:v>18.048858309445095</c:v>
                </c:pt>
                <c:pt idx="145">
                  <c:v>17.898759305543052</c:v>
                </c:pt>
                <c:pt idx="146">
                  <c:v>17.750097458669643</c:v>
                </c:pt>
                <c:pt idx="147">
                  <c:v>17.602857403924098</c:v>
                </c:pt>
                <c:pt idx="148">
                  <c:v>17.457023952241101</c:v>
                </c:pt>
                <c:pt idx="149">
                  <c:v>17.312582088398962</c:v>
                </c:pt>
                <c:pt idx="150">
                  <c:v>17.169516969045368</c:v>
                </c:pt>
                <c:pt idx="151">
                  <c:v>17.027813920740499</c:v>
                </c:pt>
                <c:pt idx="152">
                  <c:v>16.887458438018001</c:v>
                </c:pt>
                <c:pt idx="153">
                  <c:v>16.748436181463482</c:v>
                </c:pt>
                <c:pt idx="154">
                  <c:v>16.610732975811018</c:v>
                </c:pt>
                <c:pt idx="155">
                  <c:v>16.47433480805708</c:v>
                </c:pt>
                <c:pt idx="156">
                  <c:v>16.339227825592793</c:v>
                </c:pt>
                <c:pt idx="157">
                  <c:v>16.205398334353653</c:v>
                </c:pt>
                <c:pt idx="158">
                  <c:v>16.072832796987448</c:v>
                </c:pt>
                <c:pt idx="159">
                  <c:v>15.941517831039729</c:v>
                </c:pt>
                <c:pt idx="160">
                  <c:v>15.811440207157588</c:v>
                </c:pt>
                <c:pt idx="161">
                  <c:v>15.682586847310901</c:v>
                </c:pt>
              </c:numCache>
            </c:numRef>
          </c:val>
          <c:smooth val="0"/>
          <c:extLst>
            <c:ext xmlns:c16="http://schemas.microsoft.com/office/drawing/2014/chart" uri="{C3380CC4-5D6E-409C-BE32-E72D297353CC}">
              <c16:uniqueId val="{00000001-EA94-45A3-A014-CB13665297B2}"/>
            </c:ext>
          </c:extLst>
        </c:ser>
        <c:ser>
          <c:idx val="1"/>
          <c:order val="1"/>
          <c:tx>
            <c:v>Put Price</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Model'!$D$13:$D$174</c:f>
              <c:numCache>
                <c:formatCode>0.000</c:formatCode>
                <c:ptCount val="162"/>
                <c:pt idx="0">
                  <c:v>8.674415728700378</c:v>
                </c:pt>
                <c:pt idx="1">
                  <c:v>8.9962909819162356</c:v>
                </c:pt>
                <c:pt idx="2">
                  <c:v>9.3241851594799279</c:v>
                </c:pt>
                <c:pt idx="3">
                  <c:v>9.6580681850291903</c:v>
                </c:pt>
                <c:pt idx="4">
                  <c:v>9.9979087879525359</c:v>
                </c:pt>
                <c:pt idx="5">
                  <c:v>10.343674574610141</c:v>
                </c:pt>
                <c:pt idx="6">
                  <c:v>10.695332096882176</c:v>
                </c:pt>
                <c:pt idx="7">
                  <c:v>11.052846918111079</c:v>
                </c:pt>
                <c:pt idx="8">
                  <c:v>11.416183676505309</c:v>
                </c:pt>
                <c:pt idx="9">
                  <c:v>11.785306146072678</c:v>
                </c:pt>
                <c:pt idx="10">
                  <c:v>12.160177295151946</c:v>
                </c:pt>
                <c:pt idx="11">
                  <c:v>12.540759342611306</c:v>
                </c:pt>
                <c:pt idx="12">
                  <c:v>12.927013811782398</c:v>
                </c:pt>
                <c:pt idx="13">
                  <c:v>13.318901582197864</c:v>
                </c:pt>
                <c:pt idx="14">
                  <c:v>13.716382939200312</c:v>
                </c:pt>
                <c:pt idx="15">
                  <c:v>14.119417621489404</c:v>
                </c:pt>
                <c:pt idx="16">
                  <c:v>14.527964866673077</c:v>
                </c:pt>
                <c:pt idx="17">
                  <c:v>14.941983454888106</c:v>
                </c:pt>
                <c:pt idx="18">
                  <c:v>15.361431750553752</c:v>
                </c:pt>
                <c:pt idx="19">
                  <c:v>15.786267742321343</c:v>
                </c:pt>
                <c:pt idx="20">
                  <c:v>16.216449081281311</c:v>
                </c:pt>
                <c:pt idx="21">
                  <c:v>16.651933117487786</c:v>
                </c:pt>
                <c:pt idx="22">
                  <c:v>17.092676934859526</c:v>
                </c:pt>
                <c:pt idx="23">
                  <c:v>17.538637384514878</c:v>
                </c:pt>
                <c:pt idx="24">
                  <c:v>17.989771116596305</c:v>
                </c:pt>
                <c:pt idx="25">
                  <c:v>18.446034610639465</c:v>
                </c:pt>
                <c:pt idx="26">
                  <c:v>18.9073842045396</c:v>
                </c:pt>
                <c:pt idx="27">
                  <c:v>19.373776122167026</c:v>
                </c:pt>
                <c:pt idx="28">
                  <c:v>19.845166499681866</c:v>
                </c:pt>
                <c:pt idx="29">
                  <c:v>20.321511410596671</c:v>
                </c:pt>
                <c:pt idx="30">
                  <c:v>20.802766889634135</c:v>
                </c:pt>
                <c:pt idx="31">
                  <c:v>21.288888955425918</c:v>
                </c:pt>
                <c:pt idx="32">
                  <c:v>21.77983363209669</c:v>
                </c:pt>
                <c:pt idx="33">
                  <c:v>22.275556969776666</c:v>
                </c:pt>
                <c:pt idx="34">
                  <c:v>22.776015064084035</c:v>
                </c:pt>
                <c:pt idx="35">
                  <c:v>23.281164074617749</c:v>
                </c:pt>
                <c:pt idx="36">
                  <c:v>23.790960242499438</c:v>
                </c:pt>
                <c:pt idx="37">
                  <c:v>24.305359907002114</c:v>
                </c:pt>
                <c:pt idx="38">
                  <c:v>24.824319521302293</c:v>
                </c:pt>
                <c:pt idx="39">
                  <c:v>25.347795667390244</c:v>
                </c:pt>
                <c:pt idx="40">
                  <c:v>25.875745070172677</c:v>
                </c:pt>
                <c:pt idx="41">
                  <c:v>26.408124610800357</c:v>
                </c:pt>
                <c:pt idx="42">
                  <c:v>26.944891339252258</c:v>
                </c:pt>
                <c:pt idx="43">
                  <c:v>27.486002486206942</c:v>
                </c:pt>
                <c:pt idx="44">
                  <c:v>28.031415474230229</c:v>
                </c:pt>
                <c:pt idx="45">
                  <c:v>28.581087928307717</c:v>
                </c:pt>
                <c:pt idx="46">
                  <c:v>29.134977685749341</c:v>
                </c:pt>
                <c:pt idx="47">
                  <c:v>29.693042805492169</c:v>
                </c:pt>
                <c:pt idx="48">
                  <c:v>30.255241576827096</c:v>
                </c:pt>
                <c:pt idx="49">
                  <c:v>30.821532527573453</c:v>
                </c:pt>
                <c:pt idx="50">
                  <c:v>31.391874431725185</c:v>
                </c:pt>
                <c:pt idx="51">
                  <c:v>31.966226316591289</c:v>
                </c:pt>
                <c:pt idx="52">
                  <c:v>32.544547469452155</c:v>
                </c:pt>
                <c:pt idx="53">
                  <c:v>33.126797443752587</c:v>
                </c:pt>
                <c:pt idx="54">
                  <c:v>33.712936064852222</c:v>
                </c:pt>
                <c:pt idx="55">
                  <c:v>34.302923435351858</c:v>
                </c:pt>
                <c:pt idx="56">
                  <c:v>34.896719940015153</c:v>
                </c:pt>
                <c:pt idx="57">
                  <c:v>35.494286250303048</c:v>
                </c:pt>
                <c:pt idx="58">
                  <c:v>36.095583328538403</c:v>
                </c:pt>
                <c:pt idx="59">
                  <c:v>36.700572431717333</c:v>
                </c:pt>
                <c:pt idx="60">
                  <c:v>37.309215114983047</c:v>
                </c:pt>
                <c:pt idx="61">
                  <c:v>37.921473234777743</c:v>
                </c:pt>
                <c:pt idx="62">
                  <c:v>38.537308951686796</c:v>
                </c:pt>
                <c:pt idx="63">
                  <c:v>39.156684732990087</c:v>
                </c:pt>
                <c:pt idx="64">
                  <c:v>39.779563354932925</c:v>
                </c:pt>
                <c:pt idx="65">
                  <c:v>40.405907904730846</c:v>
                </c:pt>
                <c:pt idx="66">
                  <c:v>41.035681782319649</c:v>
                </c:pt>
                <c:pt idx="67">
                  <c:v>41.66884870186346</c:v>
                </c:pt>
                <c:pt idx="68">
                  <c:v>42.305372693031977</c:v>
                </c:pt>
                <c:pt idx="69">
                  <c:v>42.945218102057837</c:v>
                </c:pt>
                <c:pt idx="70">
                  <c:v>43.588349592585203</c:v>
                </c:pt>
                <c:pt idx="71">
                  <c:v>44.234732146319054</c:v>
                </c:pt>
                <c:pt idx="72">
                  <c:v>44.884331063485725</c:v>
                </c:pt>
                <c:pt idx="73">
                  <c:v>45.53711196311329</c:v>
                </c:pt>
                <c:pt idx="74">
                  <c:v>46.193040783141399</c:v>
                </c:pt>
                <c:pt idx="75">
                  <c:v>46.852083780368744</c:v>
                </c:pt>
                <c:pt idx="76">
                  <c:v>47.514207530246892</c:v>
                </c:pt>
                <c:pt idx="77">
                  <c:v>48.179378926527654</c:v>
                </c:pt>
                <c:pt idx="78">
                  <c:v>48.84756518077247</c:v>
                </c:pt>
                <c:pt idx="79">
                  <c:v>49.518733821730578</c:v>
                </c:pt>
                <c:pt idx="80">
                  <c:v>50.192852694592837</c:v>
                </c:pt>
                <c:pt idx="81">
                  <c:v>50.869889960128383</c:v>
                </c:pt>
                <c:pt idx="82">
                  <c:v>51.549814093709841</c:v>
                </c:pt>
                <c:pt idx="83">
                  <c:v>52.23259388423417</c:v>
                </c:pt>
                <c:pt idx="84">
                  <c:v>52.918198432943903</c:v>
                </c:pt>
                <c:pt idx="85">
                  <c:v>53.606597152155409</c:v>
                </c:pt>
                <c:pt idx="86">
                  <c:v>54.29775976389891</c:v>
                </c:pt>
                <c:pt idx="87">
                  <c:v>54.99165629847559</c:v>
                </c:pt>
                <c:pt idx="88">
                  <c:v>55.688257092937157</c:v>
                </c:pt>
                <c:pt idx="89">
                  <c:v>56.387532789491708</c:v>
                </c:pt>
                <c:pt idx="90">
                  <c:v>57.089454333841402</c:v>
                </c:pt>
                <c:pt idx="91">
                  <c:v>57.793992973455502</c:v>
                </c:pt>
                <c:pt idx="92">
                  <c:v>58.501120255783263</c:v>
                </c:pt>
                <c:pt idx="93">
                  <c:v>59.210808026410817</c:v>
                </c:pt>
                <c:pt idx="94">
                  <c:v>59.923028427165477</c:v>
                </c:pt>
                <c:pt idx="95">
                  <c:v>60.637753894170899</c:v>
                </c:pt>
                <c:pt idx="96">
                  <c:v>61.354957155857733</c:v>
                </c:pt>
                <c:pt idx="97">
                  <c:v>62.074611230931282</c:v>
                </c:pt>
                <c:pt idx="98">
                  <c:v>62.796689426300802</c:v>
                </c:pt>
                <c:pt idx="99">
                  <c:v>63.521165334973062</c:v>
                </c:pt>
                <c:pt idx="100">
                  <c:v>64.248012833912497</c:v>
                </c:pt>
                <c:pt idx="101">
                  <c:v>64.977206081871429</c:v>
                </c:pt>
                <c:pt idx="102">
                  <c:v>65.708719517192549</c:v>
                </c:pt>
                <c:pt idx="103">
                  <c:v>66.442527855586604</c:v>
                </c:pt>
                <c:pt idx="104">
                  <c:v>67.178606087886877</c:v>
                </c:pt>
                <c:pt idx="105">
                  <c:v>67.916929477783881</c:v>
                </c:pt>
                <c:pt idx="106">
                  <c:v>68.657473559541145</c:v>
                </c:pt>
                <c:pt idx="107">
                  <c:v>69.400214135695521</c:v>
                </c:pt>
                <c:pt idx="108">
                  <c:v>70.145127274742876</c:v>
                </c:pt>
                <c:pt idx="109">
                  <c:v>70.892189308811439</c:v>
                </c:pt>
                <c:pt idx="110">
                  <c:v>71.641376831325189</c:v>
                </c:pt>
                <c:pt idx="111">
                  <c:v>72.392666694657734</c:v>
                </c:pt>
                <c:pt idx="112">
                  <c:v>73.1460360077795</c:v>
                </c:pt>
                <c:pt idx="113">
                  <c:v>73.901462133899173</c:v>
                </c:pt>
                <c:pt idx="114">
                  <c:v>74.658922688101086</c:v>
                </c:pt>
                <c:pt idx="115">
                  <c:v>75.418395534979524</c:v>
                </c:pt>
                <c:pt idx="116">
                  <c:v>76.179858786272007</c:v>
                </c:pt>
                <c:pt idx="117">
                  <c:v>76.9432907984922</c:v>
                </c:pt>
                <c:pt idx="118">
                  <c:v>77.70867017056392</c:v>
                </c:pt>
                <c:pt idx="119">
                  <c:v>78.475975741457162</c:v>
                </c:pt>
                <c:pt idx="120">
                  <c:v>79.245186587827618</c:v>
                </c:pt>
                <c:pt idx="121">
                  <c:v>80.016282021660231</c:v>
                </c:pt>
                <c:pt idx="122">
                  <c:v>80.789241587918127</c:v>
                </c:pt>
                <c:pt idx="123">
                  <c:v>81.564045062197579</c:v>
                </c:pt>
                <c:pt idx="124">
                  <c:v>82.340672448389967</c:v>
                </c:pt>
                <c:pt idx="125">
                  <c:v>83.119103976351823</c:v>
                </c:pt>
                <c:pt idx="126">
                  <c:v>83.899320099582951</c:v>
                </c:pt>
                <c:pt idx="127">
                  <c:v>84.681301492914372</c:v>
                </c:pt>
                <c:pt idx="128">
                  <c:v>85.465029050205928</c:v>
                </c:pt>
                <c:pt idx="129">
                  <c:v>86.250483882054823</c:v>
                </c:pt>
                <c:pt idx="130">
                  <c:v>87.03764731351508</c:v>
                </c:pt>
                <c:pt idx="131">
                  <c:v>87.826500881829062</c:v>
                </c:pt>
                <c:pt idx="132">
                  <c:v>88.6170263341713</c:v>
                </c:pt>
                <c:pt idx="133">
                  <c:v>89.409205625405107</c:v>
                </c:pt>
                <c:pt idx="134">
                  <c:v>90.203020915852619</c:v>
                </c:pt>
                <c:pt idx="135">
                  <c:v>90.998454569078518</c:v>
                </c:pt>
                <c:pt idx="136">
                  <c:v>91.795489149687953</c:v>
                </c:pt>
                <c:pt idx="137">
                  <c:v>92.594107421139142</c:v>
                </c:pt>
                <c:pt idx="138">
                  <c:v>93.394292343570513</c:v>
                </c:pt>
                <c:pt idx="139">
                  <c:v>94.196027071643726</c:v>
                </c:pt>
                <c:pt idx="140">
                  <c:v>94.999294952401414</c:v>
                </c:pt>
                <c:pt idx="141">
                  <c:v>95.804079523141581</c:v>
                </c:pt>
                <c:pt idx="142">
                  <c:v>96.61036450930736</c:v>
                </c:pt>
                <c:pt idx="143">
                  <c:v>97.418133822393699</c:v>
                </c:pt>
                <c:pt idx="144">
                  <c:v>98.2273715578701</c:v>
                </c:pt>
                <c:pt idx="145">
                  <c:v>99.038061993120408</c:v>
                </c:pt>
                <c:pt idx="146">
                  <c:v>99.85018958539932</c:v>
                </c:pt>
                <c:pt idx="147">
                  <c:v>100.66373896980612</c:v>
                </c:pt>
                <c:pt idx="148">
                  <c:v>101.47869495727545</c:v>
                </c:pt>
                <c:pt idx="149">
                  <c:v>102.29504253258561</c:v>
                </c:pt>
                <c:pt idx="150">
                  <c:v>103.11276685238434</c:v>
                </c:pt>
                <c:pt idx="151">
                  <c:v>103.93185324323177</c:v>
                </c:pt>
                <c:pt idx="152">
                  <c:v>104.75228719966162</c:v>
                </c:pt>
                <c:pt idx="153">
                  <c:v>105.57405438225942</c:v>
                </c:pt>
                <c:pt idx="154">
                  <c:v>106.39714061575927</c:v>
                </c:pt>
                <c:pt idx="155">
                  <c:v>107.22153188715768</c:v>
                </c:pt>
                <c:pt idx="156">
                  <c:v>108.0472143438457</c:v>
                </c:pt>
                <c:pt idx="157">
                  <c:v>108.87417429175891</c:v>
                </c:pt>
                <c:pt idx="158">
                  <c:v>109.70239819354501</c:v>
                </c:pt>
                <c:pt idx="159">
                  <c:v>110.53187266674965</c:v>
                </c:pt>
                <c:pt idx="160">
                  <c:v>111.3625844820198</c:v>
                </c:pt>
                <c:pt idx="161">
                  <c:v>112.19452056132543</c:v>
                </c:pt>
              </c:numCache>
            </c:numRef>
          </c:val>
          <c:smooth val="0"/>
          <c:extLst>
            <c:ext xmlns:c16="http://schemas.microsoft.com/office/drawing/2014/chart" uri="{C3380CC4-5D6E-409C-BE32-E72D297353CC}">
              <c16:uniqueId val="{00000002-EA94-45A3-A014-CB13665297B2}"/>
            </c:ext>
          </c:extLst>
        </c:ser>
        <c:dLbls>
          <c:showLegendKey val="0"/>
          <c:showVal val="0"/>
          <c:showCatName val="0"/>
          <c:showSerName val="0"/>
          <c:showPercent val="0"/>
          <c:showBubbleSize val="0"/>
        </c:dLbls>
        <c:smooth val="0"/>
        <c:axId val="1601060943"/>
        <c:axId val="1601068623"/>
      </c:lineChart>
      <c:catAx>
        <c:axId val="1601060943"/>
        <c:scaling>
          <c:orientation val="minMax"/>
        </c:scaling>
        <c:delete val="0"/>
        <c:axPos val="b"/>
        <c:title>
          <c:tx>
            <c:rich>
              <a:bodyPr/>
              <a:lstStyle/>
              <a:p>
                <a:pPr>
                  <a:defRPr/>
                </a:pPr>
                <a:r>
                  <a:rPr lang="en-US"/>
                  <a:t>Stock Price</a:t>
                </a:r>
              </a:p>
            </c:rich>
          </c:tx>
          <c:overlay val="0"/>
        </c:title>
        <c:numFmt formatCode="General" sourceLinked="1"/>
        <c:majorTickMark val="out"/>
        <c:minorTickMark val="none"/>
        <c:tickLblPos val="nextTo"/>
        <c:crossAx val="1601068623"/>
        <c:crosses val="autoZero"/>
        <c:auto val="1"/>
        <c:lblAlgn val="ctr"/>
        <c:lblOffset val="100"/>
        <c:noMultiLvlLbl val="0"/>
      </c:catAx>
      <c:valAx>
        <c:axId val="1601068623"/>
        <c:scaling>
          <c:orientation val="minMax"/>
        </c:scaling>
        <c:delete val="0"/>
        <c:axPos val="l"/>
        <c:majorGridlines/>
        <c:title>
          <c:tx>
            <c:rich>
              <a:bodyPr/>
              <a:lstStyle/>
              <a:p>
                <a:pPr>
                  <a:defRPr/>
                </a:pPr>
                <a:r>
                  <a:rPr lang="en-US"/>
                  <a:t>Option Price</a:t>
                </a:r>
              </a:p>
            </c:rich>
          </c:tx>
          <c:overlay val="0"/>
        </c:title>
        <c:numFmt formatCode="0.000" sourceLinked="1"/>
        <c:majorTickMark val="out"/>
        <c:minorTickMark val="none"/>
        <c:tickLblPos val="nextTo"/>
        <c:crossAx val="16010609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Option Deltas</a:t>
            </a:r>
          </a:p>
        </c:rich>
      </c:tx>
      <c:overlay val="0"/>
    </c:title>
    <c:autoTitleDeleted val="0"/>
    <c:plotArea>
      <c:layout/>
      <c:lineChart>
        <c:grouping val="standard"/>
        <c:varyColors val="0"/>
        <c:ser>
          <c:idx val="0"/>
          <c:order val="0"/>
          <c:tx>
            <c:v>Call Delta</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Model'!$E$13:$E$174</c:f>
              <c:numCache>
                <c:formatCode>#,##0.0000;\(#,##0.0000\)</c:formatCode>
                <c:ptCount val="162"/>
                <c:pt idx="0">
                  <c:v>0.87243139972415085</c:v>
                </c:pt>
                <c:pt idx="1">
                  <c:v>0.86879701366263351</c:v>
                </c:pt>
                <c:pt idx="2">
                  <c:v>0.86513653263990364</c:v>
                </c:pt>
                <c:pt idx="3">
                  <c:v>0.86145114607899065</c:v>
                </c:pt>
                <c:pt idx="4">
                  <c:v>0.85774202505476504</c:v>
                </c:pt>
                <c:pt idx="5">
                  <c:v>0.8540103218827173</c:v>
                </c:pt>
                <c:pt idx="6">
                  <c:v>0.85025716976450383</c:v>
                </c:pt>
                <c:pt idx="7">
                  <c:v>0.84648368248655181</c:v>
                </c:pt>
                <c:pt idx="8">
                  <c:v>0.84269095416820539</c:v>
                </c:pt>
                <c:pt idx="9">
                  <c:v>0.83888005905607255</c:v>
                </c:pt>
                <c:pt idx="10">
                  <c:v>0.83505205136141858</c:v>
                </c:pt>
                <c:pt idx="11">
                  <c:v>0.83120796513761219</c:v>
                </c:pt>
                <c:pt idx="12">
                  <c:v>0.82734881419479556</c:v>
                </c:pt>
                <c:pt idx="13">
                  <c:v>0.8234755920491087</c:v>
                </c:pt>
                <c:pt idx="14">
                  <c:v>0.81958927190394026</c:v>
                </c:pt>
                <c:pt idx="15">
                  <c:v>0.81569080666082494</c:v>
                </c:pt>
                <c:pt idx="16">
                  <c:v>0.81178112895773868</c:v>
                </c:pt>
                <c:pt idx="17">
                  <c:v>0.8078611512326741</c:v>
                </c:pt>
                <c:pt idx="18">
                  <c:v>0.80393176581050163</c:v>
                </c:pt>
                <c:pt idx="19">
                  <c:v>0.79999384501123638</c:v>
                </c:pt>
                <c:pt idx="20">
                  <c:v>0.79604824127794516</c:v>
                </c:pt>
                <c:pt idx="21">
                  <c:v>0.79209578732263197</c:v>
                </c:pt>
                <c:pt idx="22">
                  <c:v>0.78813729628853779</c:v>
                </c:pt>
                <c:pt idx="23">
                  <c:v>0.78417356192739385</c:v>
                </c:pt>
                <c:pt idx="24">
                  <c:v>0.78020535879024511</c:v>
                </c:pt>
                <c:pt idx="25">
                  <c:v>0.77623344243056125</c:v>
                </c:pt>
                <c:pt idx="26">
                  <c:v>0.772258549618418</c:v>
                </c:pt>
                <c:pt idx="27">
                  <c:v>0.76828139856462041</c:v>
                </c:pt>
                <c:pt idx="28">
                  <c:v>0.76430268915370625</c:v>
                </c:pt>
                <c:pt idx="29">
                  <c:v>0.76032310318483554</c:v>
                </c:pt>
                <c:pt idx="30">
                  <c:v>0.7563433046196415</c:v>
                </c:pt>
                <c:pt idx="31">
                  <c:v>0.75236393983617367</c:v>
                </c:pt>
                <c:pt idx="32">
                  <c:v>0.74838563788812751</c:v>
                </c:pt>
                <c:pt idx="33">
                  <c:v>0.744409010768605</c:v>
                </c:pt>
                <c:pt idx="34">
                  <c:v>0.74043465367770189</c:v>
                </c:pt>
                <c:pt idx="35">
                  <c:v>0.7364631452932715</c:v>
                </c:pt>
                <c:pt idx="36">
                  <c:v>0.73249504804425269</c:v>
                </c:pt>
                <c:pt idx="37">
                  <c:v>0.72853090838599865</c:v>
                </c:pt>
                <c:pt idx="38">
                  <c:v>0.72457125707708203</c:v>
                </c:pt>
                <c:pt idx="39">
                  <c:v>0.72061660945708805</c:v>
                </c:pt>
                <c:pt idx="40">
                  <c:v>0.71666746572494655</c:v>
                </c:pt>
                <c:pt idx="41">
                  <c:v>0.71272431121738522</c:v>
                </c:pt>
                <c:pt idx="42">
                  <c:v>0.70878761668711976</c:v>
                </c:pt>
                <c:pt idx="43">
                  <c:v>0.70485783858042417</c:v>
                </c:pt>
                <c:pt idx="44">
                  <c:v>0.70093541931375691</c:v>
                </c:pt>
                <c:pt idx="45">
                  <c:v>0.69702078754913854</c:v>
                </c:pt>
                <c:pt idx="46">
                  <c:v>0.69311435846800828</c:v>
                </c:pt>
                <c:pt idx="47">
                  <c:v>0.68921653404330452</c:v>
                </c:pt>
                <c:pt idx="48">
                  <c:v>0.68532770330953929</c:v>
                </c:pt>
                <c:pt idx="49">
                  <c:v>0.68144824263065595</c:v>
                </c:pt>
                <c:pt idx="50">
                  <c:v>0.67757851596547858</c:v>
                </c:pt>
                <c:pt idx="51">
                  <c:v>0.67371887513057982</c:v>
                </c:pt>
                <c:pt idx="52">
                  <c:v>0.66986966006041082</c:v>
                </c:pt>
                <c:pt idx="53">
                  <c:v>0.66603119906455066</c:v>
                </c:pt>
                <c:pt idx="54">
                  <c:v>0.66220380908195142</c:v>
                </c:pt>
                <c:pt idx="55">
                  <c:v>0.65838779593206476</c:v>
                </c:pt>
                <c:pt idx="56">
                  <c:v>0.65458345456275002</c:v>
                </c:pt>
                <c:pt idx="57">
                  <c:v>0.65079106929487707</c:v>
                </c:pt>
                <c:pt idx="58">
                  <c:v>0.6470109140635466</c:v>
                </c:pt>
                <c:pt idx="59">
                  <c:v>0.6432432526558618</c:v>
                </c:pt>
                <c:pt idx="60">
                  <c:v>0.63948833894519452</c:v>
                </c:pt>
                <c:pt idx="61">
                  <c:v>0.6357464171218995</c:v>
                </c:pt>
                <c:pt idx="62">
                  <c:v>0.63201772192043526</c:v>
                </c:pt>
                <c:pt idx="63">
                  <c:v>0.62830247884286339</c:v>
                </c:pt>
                <c:pt idx="64">
                  <c:v>0.62460090437869864</c:v>
                </c:pt>
                <c:pt idx="65">
                  <c:v>0.6209132062210958</c:v>
                </c:pt>
                <c:pt idx="66">
                  <c:v>0.61723958347935914</c:v>
                </c:pt>
                <c:pt idx="67">
                  <c:v>0.61358022688777136</c:v>
                </c:pt>
                <c:pt idx="68">
                  <c:v>0.60993531901073983</c:v>
                </c:pt>
                <c:pt idx="69">
                  <c:v>0.60630503444426642</c:v>
                </c:pt>
                <c:pt idx="70">
                  <c:v>0.60268954001374975</c:v>
                </c:pt>
                <c:pt idx="71">
                  <c:v>0.59908899496813239</c:v>
                </c:pt>
                <c:pt idx="72">
                  <c:v>0.59550355117041176</c:v>
                </c:pt>
                <c:pt idx="73">
                  <c:v>0.591933353284534</c:v>
                </c:pt>
                <c:pt idx="74">
                  <c:v>0.58837853895869618</c:v>
                </c:pt>
                <c:pt idx="75">
                  <c:v>0.58483923900508206</c:v>
                </c:pt>
                <c:pt idx="76">
                  <c:v>0.58131557757606278</c:v>
                </c:pt>
                <c:pt idx="77">
                  <c:v>0.5778076723368929</c:v>
                </c:pt>
                <c:pt idx="78">
                  <c:v>0.57431563463493607</c:v>
                </c:pt>
                <c:pt idx="79">
                  <c:v>0.57083956966545801</c:v>
                </c:pt>
                <c:pt idx="80">
                  <c:v>0.56737957663402339</c:v>
                </c:pt>
                <c:pt idx="81">
                  <c:v>0.56393574891553455</c:v>
                </c:pt>
                <c:pt idx="82">
                  <c:v>0.56050817420995758</c:v>
                </c:pt>
                <c:pt idx="83">
                  <c:v>0.55709693469477184</c:v>
                </c:pt>
                <c:pt idx="84">
                  <c:v>0.55370210717419288</c:v>
                </c:pt>
                <c:pt idx="85">
                  <c:v>0.55032376322520538</c:v>
                </c:pt>
                <c:pt idx="86">
                  <c:v>0.54696196934045915</c:v>
                </c:pt>
                <c:pt idx="87">
                  <c:v>0.54361678706806704</c:v>
                </c:pt>
                <c:pt idx="88">
                  <c:v>0.54028827314835537</c:v>
                </c:pt>
                <c:pt idx="89">
                  <c:v>0.53697647964761241</c:v>
                </c:pt>
                <c:pt idx="90">
                  <c:v>0.53368145408888146</c:v>
                </c:pt>
                <c:pt idx="91">
                  <c:v>0.53040323957984659</c:v>
                </c:pt>
                <c:pt idx="92">
                  <c:v>0.52714187493785924</c:v>
                </c:pt>
                <c:pt idx="93">
                  <c:v>0.52389739481215269</c:v>
                </c:pt>
                <c:pt idx="94">
                  <c:v>0.52066982980329257</c:v>
                </c:pt>
                <c:pt idx="95">
                  <c:v>0.51745920657991062</c:v>
                </c:pt>
                <c:pt idx="96">
                  <c:v>0.51426554799277158</c:v>
                </c:pt>
                <c:pt idx="97">
                  <c:v>0.5110888731862181</c:v>
                </c:pt>
                <c:pt idx="98">
                  <c:v>0.50792919770704259</c:v>
                </c:pt>
                <c:pt idx="99">
                  <c:v>0.50478653361083381</c:v>
                </c:pt>
                <c:pt idx="100">
                  <c:v>0.50166088956584387</c:v>
                </c:pt>
                <c:pt idx="101">
                  <c:v>0.49855227095442262</c:v>
                </c:pt>
                <c:pt idx="102">
                  <c:v>0.49546067997206678</c:v>
                </c:pt>
                <c:pt idx="103">
                  <c:v>0.49238611572412816</c:v>
                </c:pt>
                <c:pt idx="104">
                  <c:v>0.48932857432022731</c:v>
                </c:pt>
                <c:pt idx="105">
                  <c:v>0.48628804896641786</c:v>
                </c:pt>
                <c:pt idx="106">
                  <c:v>0.48326453005514514</c:v>
                </c:pt>
                <c:pt idx="107">
                  <c:v>0.48025800525304463</c:v>
                </c:pt>
                <c:pt idx="108">
                  <c:v>0.47726845958662184</c:v>
                </c:pt>
                <c:pt idx="109">
                  <c:v>0.47429587552585872</c:v>
                </c:pt>
                <c:pt idx="110">
                  <c:v>0.47134023306578765</c:v>
                </c:pt>
                <c:pt idx="111">
                  <c:v>0.46840150980607548</c:v>
                </c:pt>
                <c:pt idx="112">
                  <c:v>0.46547968102865855</c:v>
                </c:pt>
                <c:pt idx="113">
                  <c:v>0.46257471977347081</c:v>
                </c:pt>
                <c:pt idx="114">
                  <c:v>0.45968659691230257</c:v>
                </c:pt>
                <c:pt idx="115">
                  <c:v>0.45681528122083287</c:v>
                </c:pt>
                <c:pt idx="116">
                  <c:v>0.453960739448871</c:v>
                </c:pt>
                <c:pt idx="117">
                  <c:v>0.45112293638884876</c:v>
                </c:pt>
                <c:pt idx="118">
                  <c:v>0.44830183494259823</c:v>
                </c:pt>
                <c:pt idx="119">
                  <c:v>0.44549739618645418</c:v>
                </c:pt>
                <c:pt idx="120">
                  <c:v>0.44270957943471756</c:v>
                </c:pt>
                <c:pt idx="121">
                  <c:v>0.43993834230151452</c:v>
                </c:pt>
                <c:pt idx="122">
                  <c:v>0.43718364076108784</c:v>
                </c:pt>
                <c:pt idx="123">
                  <c:v>0.43444542920655438</c:v>
                </c:pt>
                <c:pt idx="124">
                  <c:v>0.43172366050716349</c:v>
                </c:pt>
                <c:pt idx="125">
                  <c:v>0.42901828606408871</c:v>
                </c:pt>
                <c:pt idx="126">
                  <c:v>0.42632925586478654</c:v>
                </c:pt>
                <c:pt idx="127">
                  <c:v>0.42365651853595443</c:v>
                </c:pt>
                <c:pt idx="128">
                  <c:v>0.42100002139511894</c:v>
                </c:pt>
                <c:pt idx="129">
                  <c:v>0.41835971050088538</c:v>
                </c:pt>
                <c:pt idx="130">
                  <c:v>0.41573553070188063</c:v>
                </c:pt>
                <c:pt idx="131">
                  <c:v>0.41312742568441613</c:v>
                </c:pt>
                <c:pt idx="132">
                  <c:v>0.41053533801890385</c:v>
                </c:pt>
                <c:pt idx="133">
                  <c:v>0.40795920920505063</c:v>
                </c:pt>
                <c:pt idx="134">
                  <c:v>0.4053989797158617</c:v>
                </c:pt>
                <c:pt idx="135">
                  <c:v>0.40285458904047905</c:v>
                </c:pt>
                <c:pt idx="136">
                  <c:v>0.4003259757258828</c:v>
                </c:pt>
                <c:pt idx="137">
                  <c:v>0.39781307741748173</c:v>
                </c:pt>
                <c:pt idx="138">
                  <c:v>0.39531583089861816</c:v>
                </c:pt>
                <c:pt idx="139">
                  <c:v>0.39283417212901417</c:v>
                </c:pt>
                <c:pt idx="140">
                  <c:v>0.39036803628218225</c:v>
                </c:pt>
                <c:pt idx="141">
                  <c:v>0.38791735778182646</c:v>
                </c:pt>
                <c:pt idx="142">
                  <c:v>0.38548207033725596</c:v>
                </c:pt>
                <c:pt idx="143">
                  <c:v>0.38306210697783677</c:v>
                </c:pt>
                <c:pt idx="144">
                  <c:v>0.38065740008650167</c:v>
                </c:pt>
                <c:pt idx="145">
                  <c:v>0.37826788143234341</c:v>
                </c:pt>
                <c:pt idx="146">
                  <c:v>0.37589348220231128</c:v>
                </c:pt>
                <c:pt idx="147">
                  <c:v>0.37353413303203298</c:v>
                </c:pt>
                <c:pt idx="148">
                  <c:v>0.37118976403578297</c:v>
                </c:pt>
                <c:pt idx="149">
                  <c:v>0.36886030483561738</c:v>
                </c:pt>
                <c:pt idx="150">
                  <c:v>0.36654568458969644</c:v>
                </c:pt>
                <c:pt idx="151">
                  <c:v>0.36424583201981237</c:v>
                </c:pt>
                <c:pt idx="152">
                  <c:v>0.36196067543814348</c:v>
                </c:pt>
                <c:pt idx="153">
                  <c:v>0.35969014277325273</c:v>
                </c:pt>
                <c:pt idx="154">
                  <c:v>0.35743416159534913</c:v>
                </c:pt>
                <c:pt idx="155">
                  <c:v>0.35519265914082937</c:v>
                </c:pt>
                <c:pt idx="156">
                  <c:v>0.35296556233611809</c:v>
                </c:pt>
                <c:pt idx="157">
                  <c:v>0.35075279782082314</c:v>
                </c:pt>
                <c:pt idx="158">
                  <c:v>0.34855429197022358</c:v>
                </c:pt>
                <c:pt idx="159">
                  <c:v>0.34636997091710553</c:v>
                </c:pt>
                <c:pt idx="160">
                  <c:v>0.34419976057296342</c:v>
                </c:pt>
                <c:pt idx="161">
                  <c:v>0.34204358664857981</c:v>
                </c:pt>
              </c:numCache>
            </c:numRef>
          </c:val>
          <c:smooth val="0"/>
          <c:extLst>
            <c:ext xmlns:c16="http://schemas.microsoft.com/office/drawing/2014/chart" uri="{C3380CC4-5D6E-409C-BE32-E72D297353CC}">
              <c16:uniqueId val="{00000001-5EE5-438C-81CF-C8CF39D8D4A8}"/>
            </c:ext>
          </c:extLst>
        </c:ser>
        <c:ser>
          <c:idx val="1"/>
          <c:order val="1"/>
          <c:tx>
            <c:v>Put Delta</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Model'!$F$13:$F$174</c:f>
              <c:numCache>
                <c:formatCode>#,##0.0000;\(#,##0.0000\)</c:formatCode>
                <c:ptCount val="162"/>
                <c:pt idx="0">
                  <c:v>-0.12756860027584915</c:v>
                </c:pt>
                <c:pt idx="1">
                  <c:v>-0.13120298633736649</c:v>
                </c:pt>
                <c:pt idx="2">
                  <c:v>-0.13486346736009636</c:v>
                </c:pt>
                <c:pt idx="3">
                  <c:v>-0.13854885392100935</c:v>
                </c:pt>
                <c:pt idx="4">
                  <c:v>-0.14225797494523496</c:v>
                </c:pt>
                <c:pt idx="5">
                  <c:v>-0.1459896781172827</c:v>
                </c:pt>
                <c:pt idx="6">
                  <c:v>-0.14974283023549617</c:v>
                </c:pt>
                <c:pt idx="7">
                  <c:v>-0.15351631751344819</c:v>
                </c:pt>
                <c:pt idx="8">
                  <c:v>-0.15730904583179461</c:v>
                </c:pt>
                <c:pt idx="9">
                  <c:v>-0.16111994094392745</c:v>
                </c:pt>
                <c:pt idx="10">
                  <c:v>-0.16494794863858142</c:v>
                </c:pt>
                <c:pt idx="11">
                  <c:v>-0.16879203486238781</c:v>
                </c:pt>
                <c:pt idx="12">
                  <c:v>-0.17265118580520444</c:v>
                </c:pt>
                <c:pt idx="13">
                  <c:v>-0.1765244079508913</c:v>
                </c:pt>
                <c:pt idx="14">
                  <c:v>-0.18041072809605974</c:v>
                </c:pt>
                <c:pt idx="15">
                  <c:v>-0.18430919333917506</c:v>
                </c:pt>
                <c:pt idx="16">
                  <c:v>-0.18821887104226132</c:v>
                </c:pt>
                <c:pt idx="17">
                  <c:v>-0.1921388487673259</c:v>
                </c:pt>
                <c:pt idx="18">
                  <c:v>-0.19606823418949837</c:v>
                </c:pt>
                <c:pt idx="19">
                  <c:v>-0.20000615498876362</c:v>
                </c:pt>
                <c:pt idx="20">
                  <c:v>-0.20395175872205484</c:v>
                </c:pt>
                <c:pt idx="21">
                  <c:v>-0.20790421267736803</c:v>
                </c:pt>
                <c:pt idx="22">
                  <c:v>-0.21186270371146221</c:v>
                </c:pt>
                <c:pt idx="23">
                  <c:v>-0.21582643807260615</c:v>
                </c:pt>
                <c:pt idx="24">
                  <c:v>-0.21979464120975489</c:v>
                </c:pt>
                <c:pt idx="25">
                  <c:v>-0.22376655756943875</c:v>
                </c:pt>
                <c:pt idx="26">
                  <c:v>-0.227741450381582</c:v>
                </c:pt>
                <c:pt idx="27">
                  <c:v>-0.23171860143537959</c:v>
                </c:pt>
                <c:pt idx="28">
                  <c:v>-0.23569731084629375</c:v>
                </c:pt>
                <c:pt idx="29">
                  <c:v>-0.23967689681516446</c:v>
                </c:pt>
                <c:pt idx="30">
                  <c:v>-0.2436566953803585</c:v>
                </c:pt>
                <c:pt idx="31">
                  <c:v>-0.24763606016382633</c:v>
                </c:pt>
                <c:pt idx="32">
                  <c:v>-0.25161436211187249</c:v>
                </c:pt>
                <c:pt idx="33">
                  <c:v>-0.255590989231395</c:v>
                </c:pt>
                <c:pt idx="34">
                  <c:v>-0.25956534632229811</c:v>
                </c:pt>
                <c:pt idx="35">
                  <c:v>-0.2635368547067285</c:v>
                </c:pt>
                <c:pt idx="36">
                  <c:v>-0.26750495195574731</c:v>
                </c:pt>
                <c:pt idx="37">
                  <c:v>-0.27146909161400135</c:v>
                </c:pt>
                <c:pt idx="38">
                  <c:v>-0.27542874292291797</c:v>
                </c:pt>
                <c:pt idx="39">
                  <c:v>-0.27938339054291195</c:v>
                </c:pt>
                <c:pt idx="40">
                  <c:v>-0.28333253427505345</c:v>
                </c:pt>
                <c:pt idx="41">
                  <c:v>-0.28727568878261478</c:v>
                </c:pt>
                <c:pt idx="42">
                  <c:v>-0.29121238331288024</c:v>
                </c:pt>
                <c:pt idx="43">
                  <c:v>-0.29514216141957583</c:v>
                </c:pt>
                <c:pt idx="44">
                  <c:v>-0.29906458068624309</c:v>
                </c:pt>
                <c:pt idx="45">
                  <c:v>-0.30297921245086146</c:v>
                </c:pt>
                <c:pt idx="46">
                  <c:v>-0.30688564153199172</c:v>
                </c:pt>
                <c:pt idx="47">
                  <c:v>-0.31078346595669548</c:v>
                </c:pt>
                <c:pt idx="48">
                  <c:v>-0.31467229669046071</c:v>
                </c:pt>
                <c:pt idx="49">
                  <c:v>-0.31855175736934405</c:v>
                </c:pt>
                <c:pt idx="50">
                  <c:v>-0.32242148403452142</c:v>
                </c:pt>
                <c:pt idx="51">
                  <c:v>-0.32628112486942018</c:v>
                </c:pt>
                <c:pt idx="52">
                  <c:v>-0.33013033993958918</c:v>
                </c:pt>
                <c:pt idx="53">
                  <c:v>-0.33396880093544934</c:v>
                </c:pt>
                <c:pt idx="54">
                  <c:v>-0.33779619091804858</c:v>
                </c:pt>
                <c:pt idx="55">
                  <c:v>-0.34161220406793524</c:v>
                </c:pt>
                <c:pt idx="56">
                  <c:v>-0.34541654543724998</c:v>
                </c:pt>
                <c:pt idx="57">
                  <c:v>-0.34920893070512293</c:v>
                </c:pt>
                <c:pt idx="58">
                  <c:v>-0.3529890859364534</c:v>
                </c:pt>
                <c:pt idx="59">
                  <c:v>-0.3567567473441382</c:v>
                </c:pt>
                <c:pt idx="60">
                  <c:v>-0.36051166105480548</c:v>
                </c:pt>
                <c:pt idx="61">
                  <c:v>-0.3642535828781005</c:v>
                </c:pt>
                <c:pt idx="62">
                  <c:v>-0.36798227807956474</c:v>
                </c:pt>
                <c:pt idx="63">
                  <c:v>-0.37169752115713661</c:v>
                </c:pt>
                <c:pt idx="64">
                  <c:v>-0.37539909562130136</c:v>
                </c:pt>
                <c:pt idx="65">
                  <c:v>-0.3790867937789042</c:v>
                </c:pt>
                <c:pt idx="66">
                  <c:v>-0.38276041652064086</c:v>
                </c:pt>
                <c:pt idx="67">
                  <c:v>-0.38641977311222864</c:v>
                </c:pt>
                <c:pt idx="68">
                  <c:v>-0.39006468098926017</c:v>
                </c:pt>
                <c:pt idx="69">
                  <c:v>-0.39369496555573358</c:v>
                </c:pt>
                <c:pt idx="70">
                  <c:v>-0.39731045998625025</c:v>
                </c:pt>
                <c:pt idx="71">
                  <c:v>-0.40091100503186761</c:v>
                </c:pt>
                <c:pt idx="72">
                  <c:v>-0.40449644882958824</c:v>
                </c:pt>
                <c:pt idx="73">
                  <c:v>-0.408066646715466</c:v>
                </c:pt>
                <c:pt idx="74">
                  <c:v>-0.41162146104130382</c:v>
                </c:pt>
                <c:pt idx="75">
                  <c:v>-0.41516076099491794</c:v>
                </c:pt>
                <c:pt idx="76">
                  <c:v>-0.41868442242393722</c:v>
                </c:pt>
                <c:pt idx="77">
                  <c:v>-0.4221923276631071</c:v>
                </c:pt>
                <c:pt idx="78">
                  <c:v>-0.42568436536506393</c:v>
                </c:pt>
                <c:pt idx="79">
                  <c:v>-0.42916043033454199</c:v>
                </c:pt>
                <c:pt idx="80">
                  <c:v>-0.43262042336597661</c:v>
                </c:pt>
                <c:pt idx="81">
                  <c:v>-0.43606425108446545</c:v>
                </c:pt>
                <c:pt idx="82">
                  <c:v>-0.43949182579004242</c:v>
                </c:pt>
                <c:pt idx="83">
                  <c:v>-0.44290306530522816</c:v>
                </c:pt>
                <c:pt idx="84">
                  <c:v>-0.44629789282580712</c:v>
                </c:pt>
                <c:pt idx="85">
                  <c:v>-0.44967623677479462</c:v>
                </c:pt>
                <c:pt idx="86">
                  <c:v>-0.45303803065954085</c:v>
                </c:pt>
                <c:pt idx="87">
                  <c:v>-0.45638321293193296</c:v>
                </c:pt>
                <c:pt idx="88">
                  <c:v>-0.45971172685164463</c:v>
                </c:pt>
                <c:pt idx="89">
                  <c:v>-0.46302352035238759</c:v>
                </c:pt>
                <c:pt idx="90">
                  <c:v>-0.46631854591111854</c:v>
                </c:pt>
                <c:pt idx="91">
                  <c:v>-0.46959676042015341</c:v>
                </c:pt>
                <c:pt idx="92">
                  <c:v>-0.47285812506214076</c:v>
                </c:pt>
                <c:pt idx="93">
                  <c:v>-0.47610260518784731</c:v>
                </c:pt>
                <c:pt idx="94">
                  <c:v>-0.47933017019670743</c:v>
                </c:pt>
                <c:pt idx="95">
                  <c:v>-0.48254079342008938</c:v>
                </c:pt>
                <c:pt idx="96">
                  <c:v>-0.48573445200722842</c:v>
                </c:pt>
                <c:pt idx="97">
                  <c:v>-0.4889111268137819</c:v>
                </c:pt>
                <c:pt idx="98">
                  <c:v>-0.49207080229295741</c:v>
                </c:pt>
                <c:pt idx="99">
                  <c:v>-0.49521346638916619</c:v>
                </c:pt>
                <c:pt idx="100">
                  <c:v>-0.49833911043415613</c:v>
                </c:pt>
                <c:pt idx="101">
                  <c:v>-0.50144772904557744</c:v>
                </c:pt>
                <c:pt idx="102">
                  <c:v>-0.50453932002793322</c:v>
                </c:pt>
                <c:pt idx="103">
                  <c:v>-0.50761388427587184</c:v>
                </c:pt>
                <c:pt idx="104">
                  <c:v>-0.51067142567977264</c:v>
                </c:pt>
                <c:pt idx="105">
                  <c:v>-0.51371195103358214</c:v>
                </c:pt>
                <c:pt idx="106">
                  <c:v>-0.51673546994485486</c:v>
                </c:pt>
                <c:pt idx="107">
                  <c:v>-0.51974199474695537</c:v>
                </c:pt>
                <c:pt idx="108">
                  <c:v>-0.5227315404133781</c:v>
                </c:pt>
                <c:pt idx="109">
                  <c:v>-0.52570412447414128</c:v>
                </c:pt>
                <c:pt idx="110">
                  <c:v>-0.52865976693421235</c:v>
                </c:pt>
                <c:pt idx="111">
                  <c:v>-0.53159849019392458</c:v>
                </c:pt>
                <c:pt idx="112">
                  <c:v>-0.53452031897134145</c:v>
                </c:pt>
                <c:pt idx="113">
                  <c:v>-0.53742528022652913</c:v>
                </c:pt>
                <c:pt idx="114">
                  <c:v>-0.54031340308769749</c:v>
                </c:pt>
                <c:pt idx="115">
                  <c:v>-0.54318471877916719</c:v>
                </c:pt>
                <c:pt idx="116">
                  <c:v>-0.54603926055112906</c:v>
                </c:pt>
                <c:pt idx="117">
                  <c:v>-0.54887706361115129</c:v>
                </c:pt>
                <c:pt idx="118">
                  <c:v>-0.55169816505740177</c:v>
                </c:pt>
                <c:pt idx="119">
                  <c:v>-0.55450260381354588</c:v>
                </c:pt>
                <c:pt idx="120">
                  <c:v>-0.55729042056528244</c:v>
                </c:pt>
                <c:pt idx="121">
                  <c:v>-0.56006165769848548</c:v>
                </c:pt>
                <c:pt idx="122">
                  <c:v>-0.56281635923891216</c:v>
                </c:pt>
                <c:pt idx="123">
                  <c:v>-0.56555457079344562</c:v>
                </c:pt>
                <c:pt idx="124">
                  <c:v>-0.56827633949283651</c:v>
                </c:pt>
                <c:pt idx="125">
                  <c:v>-0.57098171393591124</c:v>
                </c:pt>
                <c:pt idx="126">
                  <c:v>-0.57367074413521346</c:v>
                </c:pt>
                <c:pt idx="127">
                  <c:v>-0.57634348146404557</c:v>
                </c:pt>
                <c:pt idx="128">
                  <c:v>-0.57899997860488106</c:v>
                </c:pt>
                <c:pt idx="129">
                  <c:v>-0.58164028949911462</c:v>
                </c:pt>
                <c:pt idx="130">
                  <c:v>-0.58426446929811937</c:v>
                </c:pt>
                <c:pt idx="131">
                  <c:v>-0.58687257431558382</c:v>
                </c:pt>
                <c:pt idx="132">
                  <c:v>-0.58946466198109615</c:v>
                </c:pt>
                <c:pt idx="133">
                  <c:v>-0.59204079079494942</c:v>
                </c:pt>
                <c:pt idx="134">
                  <c:v>-0.5946010202841383</c:v>
                </c:pt>
                <c:pt idx="135">
                  <c:v>-0.59714541095952089</c:v>
                </c:pt>
                <c:pt idx="136">
                  <c:v>-0.5996740242741172</c:v>
                </c:pt>
                <c:pt idx="137">
                  <c:v>-0.60218692258251827</c:v>
                </c:pt>
                <c:pt idx="138">
                  <c:v>-0.60468416910138179</c:v>
                </c:pt>
                <c:pt idx="139">
                  <c:v>-0.60716582787098583</c:v>
                </c:pt>
                <c:pt idx="140">
                  <c:v>-0.6096319637178178</c:v>
                </c:pt>
                <c:pt idx="141">
                  <c:v>-0.61208264221817354</c:v>
                </c:pt>
                <c:pt idx="142">
                  <c:v>-0.6145179296627441</c:v>
                </c:pt>
                <c:pt idx="143">
                  <c:v>-0.61693789302216318</c:v>
                </c:pt>
                <c:pt idx="144">
                  <c:v>-0.61934259991349827</c:v>
                </c:pt>
                <c:pt idx="145">
                  <c:v>-0.62173211856765653</c:v>
                </c:pt>
                <c:pt idx="146">
                  <c:v>-0.62410651779768878</c:v>
                </c:pt>
                <c:pt idx="147">
                  <c:v>-0.62646586696796702</c:v>
                </c:pt>
                <c:pt idx="148">
                  <c:v>-0.62881023596421703</c:v>
                </c:pt>
                <c:pt idx="149">
                  <c:v>-0.63113969516438262</c:v>
                </c:pt>
                <c:pt idx="150">
                  <c:v>-0.63345431541030361</c:v>
                </c:pt>
                <c:pt idx="151">
                  <c:v>-0.63575416798018769</c:v>
                </c:pt>
                <c:pt idx="152">
                  <c:v>-0.63803932456185652</c:v>
                </c:pt>
                <c:pt idx="153">
                  <c:v>-0.64030985722674727</c:v>
                </c:pt>
                <c:pt idx="154">
                  <c:v>-0.64256583840465087</c:v>
                </c:pt>
                <c:pt idx="155">
                  <c:v>-0.64480734085917057</c:v>
                </c:pt>
                <c:pt idx="156">
                  <c:v>-0.64703443766388191</c:v>
                </c:pt>
                <c:pt idx="157">
                  <c:v>-0.64924720217917686</c:v>
                </c:pt>
                <c:pt idx="158">
                  <c:v>-0.65144570802977642</c:v>
                </c:pt>
                <c:pt idx="159">
                  <c:v>-0.65363002908289447</c:v>
                </c:pt>
                <c:pt idx="160">
                  <c:v>-0.65580023942703658</c:v>
                </c:pt>
                <c:pt idx="161">
                  <c:v>-0.65795641335142019</c:v>
                </c:pt>
              </c:numCache>
            </c:numRef>
          </c:val>
          <c:smooth val="0"/>
          <c:extLst>
            <c:ext xmlns:c16="http://schemas.microsoft.com/office/drawing/2014/chart" uri="{C3380CC4-5D6E-409C-BE32-E72D297353CC}">
              <c16:uniqueId val="{00000002-5EE5-438C-81CF-C8CF39D8D4A8}"/>
            </c:ext>
          </c:extLst>
        </c:ser>
        <c:dLbls>
          <c:showLegendKey val="0"/>
          <c:showVal val="0"/>
          <c:showCatName val="0"/>
          <c:showSerName val="0"/>
          <c:showPercent val="0"/>
          <c:showBubbleSize val="0"/>
        </c:dLbls>
        <c:smooth val="0"/>
        <c:axId val="1601059983"/>
        <c:axId val="1601069103"/>
      </c:lineChart>
      <c:catAx>
        <c:axId val="1601059983"/>
        <c:scaling>
          <c:orientation val="minMax"/>
        </c:scaling>
        <c:delete val="0"/>
        <c:axPos val="b"/>
        <c:title>
          <c:tx>
            <c:rich>
              <a:bodyPr/>
              <a:lstStyle/>
              <a:p>
                <a:pPr>
                  <a:defRPr/>
                </a:pPr>
                <a:r>
                  <a:rPr lang="en-US"/>
                  <a:t>Stock Price</a:t>
                </a:r>
              </a:p>
            </c:rich>
          </c:tx>
          <c:overlay val="0"/>
        </c:title>
        <c:numFmt formatCode="General" sourceLinked="1"/>
        <c:majorTickMark val="out"/>
        <c:minorTickMark val="none"/>
        <c:tickLblPos val="nextTo"/>
        <c:crossAx val="1601069103"/>
        <c:crosses val="autoZero"/>
        <c:auto val="1"/>
        <c:lblAlgn val="ctr"/>
        <c:lblOffset val="100"/>
        <c:noMultiLvlLbl val="0"/>
      </c:catAx>
      <c:valAx>
        <c:axId val="1601069103"/>
        <c:scaling>
          <c:orientation val="minMax"/>
        </c:scaling>
        <c:delete val="0"/>
        <c:axPos val="l"/>
        <c:majorGridlines/>
        <c:title>
          <c:tx>
            <c:rich>
              <a:bodyPr/>
              <a:lstStyle/>
              <a:p>
                <a:pPr>
                  <a:defRPr/>
                </a:pPr>
                <a:r>
                  <a:rPr lang="en-US"/>
                  <a:t>Delta</a:t>
                </a:r>
              </a:p>
            </c:rich>
          </c:tx>
          <c:overlay val="0"/>
        </c:title>
        <c:numFmt formatCode="#,##0.0000;\(#,##0.0000\)" sourceLinked="1"/>
        <c:majorTickMark val="out"/>
        <c:minorTickMark val="none"/>
        <c:tickLblPos val="nextTo"/>
        <c:crossAx val="160105998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Option Gamma</a:t>
            </a:r>
          </a:p>
        </c:rich>
      </c:tx>
      <c:overlay val="0"/>
    </c:title>
    <c:autoTitleDeleted val="0"/>
    <c:plotArea>
      <c:layout/>
      <c:lineChart>
        <c:grouping val="standard"/>
        <c:varyColors val="0"/>
        <c:ser>
          <c:idx val="0"/>
          <c:order val="0"/>
          <c:tx>
            <c:v>Gamma</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Model'!$G$13:$G$174</c:f>
              <c:numCache>
                <c:formatCode>#,##0.0000;\(#,##0.0000\)</c:formatCode>
                <c:ptCount val="162"/>
                <c:pt idx="0">
                  <c:v>2.1679110759182836E-3</c:v>
                </c:pt>
                <c:pt idx="1">
                  <c:v>2.2105270427208389E-3</c:v>
                </c:pt>
                <c:pt idx="2">
                  <c:v>2.2527978133181021E-3</c:v>
                </c:pt>
                <c:pt idx="3">
                  <c:v>2.2947083839808392E-3</c:v>
                </c:pt>
                <c:pt idx="4">
                  <c:v>2.3362445571085228E-3</c:v>
                </c:pt>
                <c:pt idx="5">
                  <c:v>2.3773929200448718E-3</c:v>
                </c:pt>
                <c:pt idx="6">
                  <c:v>2.4181408237683999E-3</c:v>
                </c:pt>
                <c:pt idx="7">
                  <c:v>2.4584763615266708E-3</c:v>
                </c:pt>
                <c:pt idx="8">
                  <c:v>2.4983883474761839E-3</c:v>
                </c:pt>
                <c:pt idx="9">
                  <c:v>2.5378662953835828E-3</c:v>
                </c:pt>
                <c:pt idx="10">
                  <c:v>2.5769003974380517E-3</c:v>
                </c:pt>
                <c:pt idx="11">
                  <c:v>2.6154815032194967E-3</c:v>
                </c:pt>
                <c:pt idx="12">
                  <c:v>2.653601098862163E-3</c:v>
                </c:pt>
                <c:pt idx="13">
                  <c:v>2.6912512864488264E-3</c:v>
                </c:pt>
                <c:pt idx="14">
                  <c:v>2.7284247636665815E-3</c:v>
                </c:pt>
                <c:pt idx="15">
                  <c:v>2.7651148037513861E-3</c:v>
                </c:pt>
                <c:pt idx="16">
                  <c:v>2.8013152357450749E-3</c:v>
                </c:pt>
                <c:pt idx="17">
                  <c:v>2.837020425085322E-3</c:v>
                </c:pt>
                <c:pt idx="18">
                  <c:v>2.872225254546109E-3</c:v>
                </c:pt>
                <c:pt idx="19">
                  <c:v>2.9069251055435855E-3</c:v>
                </c:pt>
                <c:pt idx="20">
                  <c:v>2.9411158398197556E-3</c:v>
                </c:pt>
                <c:pt idx="21">
                  <c:v>2.9747937815141979E-3</c:v>
                </c:pt>
                <c:pt idx="22">
                  <c:v>3.0079556996320009E-3</c:v>
                </c:pt>
                <c:pt idx="23">
                  <c:v>3.0405987909142549E-3</c:v>
                </c:pt>
                <c:pt idx="24">
                  <c:v>3.0727206631157729E-3</c:v>
                </c:pt>
                <c:pt idx="25">
                  <c:v>3.1043193186931846E-3</c:v>
                </c:pt>
                <c:pt idx="26">
                  <c:v>3.1353931389052118E-3</c:v>
                </c:pt>
                <c:pt idx="27">
                  <c:v>3.1659408683256673E-3</c:v>
                </c:pt>
                <c:pt idx="28">
                  <c:v>3.1959615997686442E-3</c:v>
                </c:pt>
                <c:pt idx="29">
                  <c:v>3.2254547596243435E-3</c:v>
                </c:pt>
                <c:pt idx="30">
                  <c:v>3.2544200936031093E-3</c:v>
                </c:pt>
                <c:pt idx="31">
                  <c:v>3.282857652884468E-3</c:v>
                </c:pt>
                <c:pt idx="32">
                  <c:v>3.3107677806672215E-3</c:v>
                </c:pt>
                <c:pt idx="33">
                  <c:v>3.3381510991160714E-3</c:v>
                </c:pt>
                <c:pt idx="34">
                  <c:v>3.365008496699678E-3</c:v>
                </c:pt>
                <c:pt idx="35">
                  <c:v>3.39134111591458E-3</c:v>
                </c:pt>
                <c:pt idx="36">
                  <c:v>3.4171503413890016E-3</c:v>
                </c:pt>
                <c:pt idx="37">
                  <c:v>3.4424377883601983E-3</c:v>
                </c:pt>
                <c:pt idx="38">
                  <c:v>3.4672052915187008E-3</c:v>
                </c:pt>
                <c:pt idx="39">
                  <c:v>3.4914548942125501E-3</c:v>
                </c:pt>
                <c:pt idx="40">
                  <c:v>3.5151888380044126E-3</c:v>
                </c:pt>
                <c:pt idx="41">
                  <c:v>3.5384095525742764E-3</c:v>
                </c:pt>
                <c:pt idx="42">
                  <c:v>3.5611196459603006E-3</c:v>
                </c:pt>
                <c:pt idx="43">
                  <c:v>3.5833218951302976E-3</c:v>
                </c:pt>
                <c:pt idx="44">
                  <c:v>3.6050192368762041E-3</c:v>
                </c:pt>
                <c:pt idx="45">
                  <c:v>3.6262147590239179E-3</c:v>
                </c:pt>
                <c:pt idx="46">
                  <c:v>3.6469116919507919E-3</c:v>
                </c:pt>
                <c:pt idx="47">
                  <c:v>3.6671134004030988E-3</c:v>
                </c:pt>
                <c:pt idx="48">
                  <c:v>3.6868233756058013E-3</c:v>
                </c:pt>
                <c:pt idx="49">
                  <c:v>3.7060452276569851E-3</c:v>
                </c:pt>
                <c:pt idx="50">
                  <c:v>3.7247826781993559E-3</c:v>
                </c:pt>
                <c:pt idx="51">
                  <c:v>3.7430395533612965E-3</c:v>
                </c:pt>
                <c:pt idx="52">
                  <c:v>3.7608197769599962E-3</c:v>
                </c:pt>
                <c:pt idx="53">
                  <c:v>3.7781273639593297E-3</c:v>
                </c:pt>
                <c:pt idx="54">
                  <c:v>3.794966414175178E-3</c:v>
                </c:pt>
                <c:pt idx="55">
                  <c:v>3.8113411062210482E-3</c:v>
                </c:pt>
                <c:pt idx="56">
                  <c:v>3.8272556916869311E-3</c:v>
                </c:pt>
                <c:pt idx="57">
                  <c:v>3.8427144895444598E-3</c:v>
                </c:pt>
                <c:pt idx="58">
                  <c:v>3.8577218807715552E-3</c:v>
                </c:pt>
                <c:pt idx="59">
                  <c:v>3.872282303189872E-3</c:v>
                </c:pt>
                <c:pt idx="60">
                  <c:v>3.8864002465084893E-3</c:v>
                </c:pt>
                <c:pt idx="61">
                  <c:v>3.900080247567426E-3</c:v>
                </c:pt>
                <c:pt idx="62">
                  <c:v>3.9133268857746827E-3</c:v>
                </c:pt>
                <c:pt idx="63">
                  <c:v>3.9261447787306922E-3</c:v>
                </c:pt>
                <c:pt idx="64">
                  <c:v>3.9385385780341276E-3</c:v>
                </c:pt>
                <c:pt idx="65">
                  <c:v>3.9505129652632337E-3</c:v>
                </c:pt>
                <c:pt idx="66">
                  <c:v>3.9620726481269406E-3</c:v>
                </c:pt>
                <c:pt idx="67">
                  <c:v>3.9732223567801707E-3</c:v>
                </c:pt>
                <c:pt idx="68">
                  <c:v>3.9839668402978879E-3</c:v>
                </c:pt>
                <c:pt idx="69">
                  <c:v>3.9943108633025892E-3</c:v>
                </c:pt>
                <c:pt idx="70">
                  <c:v>4.0042592027400613E-3</c:v>
                </c:pt>
                <c:pt idx="71">
                  <c:v>4.0138166447983683E-3</c:v>
                </c:pt>
                <c:pt idx="72">
                  <c:v>4.0229879819651763E-3</c:v>
                </c:pt>
                <c:pt idx="73">
                  <c:v>4.0317780102186486E-3</c:v>
                </c:pt>
                <c:pt idx="74">
                  <c:v>4.0401915263472803E-3</c:v>
                </c:pt>
                <c:pt idx="75">
                  <c:v>4.0482333253941708E-3</c:v>
                </c:pt>
                <c:pt idx="76">
                  <c:v>4.055908198221366E-3</c:v>
                </c:pt>
                <c:pt idx="77">
                  <c:v>4.0632209291900099E-3</c:v>
                </c:pt>
                <c:pt idx="78">
                  <c:v>4.0701762939522055E-3</c:v>
                </c:pt>
                <c:pt idx="79">
                  <c:v>4.0767790573505653E-3</c:v>
                </c:pt>
                <c:pt idx="80">
                  <c:v>4.0830339714215758E-3</c:v>
                </c:pt>
                <c:pt idx="81">
                  <c:v>4.0889457734990132E-3</c:v>
                </c:pt>
                <c:pt idx="82">
                  <c:v>4.0945191844137608E-3</c:v>
                </c:pt>
                <c:pt idx="83">
                  <c:v>4.0997589067864873E-3</c:v>
                </c:pt>
                <c:pt idx="84">
                  <c:v>4.1046696234097561E-3</c:v>
                </c:pt>
                <c:pt idx="85">
                  <c:v>4.1092559957162534E-3</c:v>
                </c:pt>
                <c:pt idx="86">
                  <c:v>4.1135226623298972E-3</c:v>
                </c:pt>
                <c:pt idx="87">
                  <c:v>4.1174742376967428E-3</c:v>
                </c:pt>
                <c:pt idx="88">
                  <c:v>4.1211153107926302E-3</c:v>
                </c:pt>
                <c:pt idx="89">
                  <c:v>4.124450443904696E-3</c:v>
                </c:pt>
                <c:pt idx="90">
                  <c:v>4.1274841714838851E-3</c:v>
                </c:pt>
                <c:pt idx="91">
                  <c:v>4.1302209990657568E-3</c:v>
                </c:pt>
                <c:pt idx="92">
                  <c:v>4.1326654022569307E-3</c:v>
                </c:pt>
                <c:pt idx="93">
                  <c:v>4.1348218257846164E-3</c:v>
                </c:pt>
                <c:pt idx="94">
                  <c:v>4.136694682606753E-3</c:v>
                </c:pt>
                <c:pt idx="95">
                  <c:v>4.1382883530803778E-3</c:v>
                </c:pt>
                <c:pt idx="96">
                  <c:v>4.1396071841858974E-3</c:v>
                </c:pt>
                <c:pt idx="97">
                  <c:v>4.1406554888050503E-3</c:v>
                </c:pt>
                <c:pt idx="98">
                  <c:v>4.1414375450503828E-3</c:v>
                </c:pt>
                <c:pt idx="99">
                  <c:v>4.1419575956441797E-3</c:v>
                </c:pt>
                <c:pt idx="100">
                  <c:v>4.1422198473448054E-3</c:v>
                </c:pt>
                <c:pt idx="101">
                  <c:v>4.1422284704185448E-3</c:v>
                </c:pt>
                <c:pt idx="102">
                  <c:v>4.1419875981550461E-3</c:v>
                </c:pt>
                <c:pt idx="103">
                  <c:v>4.1415013264245633E-3</c:v>
                </c:pt>
                <c:pt idx="104">
                  <c:v>4.1407737132752474E-3</c:v>
                </c:pt>
                <c:pt idx="105">
                  <c:v>4.1398087785688041E-3</c:v>
                </c:pt>
                <c:pt idx="106">
                  <c:v>4.1386105036528781E-3</c:v>
                </c:pt>
                <c:pt idx="107">
                  <c:v>4.1371828310686068E-3</c:v>
                </c:pt>
                <c:pt idx="108">
                  <c:v>4.1355296642918253E-3</c:v>
                </c:pt>
                <c:pt idx="109">
                  <c:v>4.13365486750645E-3</c:v>
                </c:pt>
                <c:pt idx="110">
                  <c:v>4.1315622654086517E-3</c:v>
                </c:pt>
                <c:pt idx="111">
                  <c:v>4.1292556430404387E-3</c:v>
                </c:pt>
                <c:pt idx="112">
                  <c:v>4.1267387456513597E-3</c:v>
                </c:pt>
                <c:pt idx="113">
                  <c:v>4.1240152785870466E-3</c:v>
                </c:pt>
                <c:pt idx="114">
                  <c:v>4.1210889072033907E-3</c:v>
                </c:pt>
                <c:pt idx="115">
                  <c:v>4.1179632568051835E-3</c:v>
                </c:pt>
                <c:pt idx="116">
                  <c:v>4.1146419126080773E-3</c:v>
                </c:pt>
                <c:pt idx="117">
                  <c:v>4.1111284197227942E-3</c:v>
                </c:pt>
                <c:pt idx="118">
                  <c:v>4.107426283160528E-3</c:v>
                </c:pt>
                <c:pt idx="119">
                  <c:v>4.1035389678585263E-3</c:v>
                </c:pt>
                <c:pt idx="120">
                  <c:v>4.0994698987248867E-3</c:v>
                </c:pt>
                <c:pt idx="121">
                  <c:v>4.095222460701633E-3</c:v>
                </c:pt>
                <c:pt idx="122">
                  <c:v>4.0907999988451628E-3</c:v>
                </c:pt>
                <c:pt idx="123">
                  <c:v>4.0862058184232067E-3</c:v>
                </c:pt>
                <c:pt idx="124">
                  <c:v>4.0814431850274661E-3</c:v>
                </c:pt>
                <c:pt idx="125">
                  <c:v>4.0765153247011212E-3</c:v>
                </c:pt>
                <c:pt idx="126">
                  <c:v>4.0714254240804401E-3</c:v>
                </c:pt>
                <c:pt idx="127">
                  <c:v>4.0661766305497482E-3</c:v>
                </c:pt>
                <c:pt idx="128">
                  <c:v>4.0607720524090431E-3</c:v>
                </c:pt>
                <c:pt idx="129">
                  <c:v>4.0552147590535732E-3</c:v>
                </c:pt>
                <c:pt idx="130">
                  <c:v>4.0495077811647032E-3</c:v>
                </c:pt>
                <c:pt idx="131">
                  <c:v>4.0436541109114561E-3</c:v>
                </c:pt>
                <c:pt idx="132">
                  <c:v>4.0376567021621129E-3</c:v>
                </c:pt>
                <c:pt idx="133">
                  <c:v>4.0315184707052669E-3</c:v>
                </c:pt>
                <c:pt idx="134">
                  <c:v>4.0252422944798052E-3</c:v>
                </c:pt>
                <c:pt idx="135">
                  <c:v>4.0188310138132444E-3</c:v>
                </c:pt>
                <c:pt idx="136">
                  <c:v>4.01228743166792E-3</c:v>
                </c:pt>
                <c:pt idx="137">
                  <c:v>4.0056143138945356E-3</c:v>
                </c:pt>
                <c:pt idx="138">
                  <c:v>3.9988143894925639E-3</c:v>
                </c:pt>
                <c:pt idx="139">
                  <c:v>3.9918903508770901E-3</c:v>
                </c:pt>
                <c:pt idx="140">
                  <c:v>3.9848448541516075E-3</c:v>
                </c:pt>
                <c:pt idx="141">
                  <c:v>3.9776805193863819E-3</c:v>
                </c:pt>
                <c:pt idx="142">
                  <c:v>3.9703999309019513E-3</c:v>
                </c:pt>
                <c:pt idx="143">
                  <c:v>3.963005637557397E-3</c:v>
                </c:pt>
                <c:pt idx="144">
                  <c:v>3.9555001530429982E-3</c:v>
                </c:pt>
                <c:pt idx="145">
                  <c:v>3.9478859561769197E-3</c:v>
                </c:pt>
                <c:pt idx="146">
                  <c:v>3.9401654912055864E-3</c:v>
                </c:pt>
                <c:pt idx="147">
                  <c:v>3.9323411681074305E-3</c:v>
                </c:pt>
                <c:pt idx="148">
                  <c:v>3.9244153628996857E-3</c:v>
                </c:pt>
                <c:pt idx="149">
                  <c:v>3.9163904179479242E-3</c:v>
                </c:pt>
                <c:pt idx="150">
                  <c:v>3.9082686422780705E-3</c:v>
                </c:pt>
                <c:pt idx="151">
                  <c:v>3.900052311890606E-3</c:v>
                </c:pt>
                <c:pt idx="152">
                  <c:v>3.8917436700766856E-3</c:v>
                </c:pt>
                <c:pt idx="153">
                  <c:v>3.8833449277359531E-3</c:v>
                </c:pt>
                <c:pt idx="154">
                  <c:v>3.8748582636957771E-3</c:v>
                </c:pt>
                <c:pt idx="155">
                  <c:v>3.8662858250317084E-3</c:v>
                </c:pt>
                <c:pt idx="156">
                  <c:v>3.857629727388916E-3</c:v>
                </c:pt>
                <c:pt idx="157">
                  <c:v>3.8488920553044191E-3</c:v>
                </c:pt>
                <c:pt idx="158">
                  <c:v>3.8400748625298867E-3</c:v>
                </c:pt>
                <c:pt idx="159">
                  <c:v>3.8311801723548431E-3</c:v>
                </c:pt>
                <c:pt idx="160">
                  <c:v>3.8222099779300785E-3</c:v>
                </c:pt>
                <c:pt idx="161">
                  <c:v>3.8131662425910998E-3</c:v>
                </c:pt>
              </c:numCache>
            </c:numRef>
          </c:val>
          <c:smooth val="0"/>
          <c:extLst>
            <c:ext xmlns:c16="http://schemas.microsoft.com/office/drawing/2014/chart" uri="{C3380CC4-5D6E-409C-BE32-E72D297353CC}">
              <c16:uniqueId val="{00000001-33D5-472D-8D7B-1EC8B15C709A}"/>
            </c:ext>
          </c:extLst>
        </c:ser>
        <c:dLbls>
          <c:showLegendKey val="0"/>
          <c:showVal val="0"/>
          <c:showCatName val="0"/>
          <c:showSerName val="0"/>
          <c:showPercent val="0"/>
          <c:showBubbleSize val="0"/>
        </c:dLbls>
        <c:smooth val="0"/>
        <c:axId val="1601063823"/>
        <c:axId val="1601066703"/>
      </c:lineChart>
      <c:catAx>
        <c:axId val="1601063823"/>
        <c:scaling>
          <c:orientation val="minMax"/>
        </c:scaling>
        <c:delete val="0"/>
        <c:axPos val="b"/>
        <c:title>
          <c:tx>
            <c:rich>
              <a:bodyPr/>
              <a:lstStyle/>
              <a:p>
                <a:pPr>
                  <a:defRPr/>
                </a:pPr>
                <a:r>
                  <a:rPr lang="en-US"/>
                  <a:t>Stock Price</a:t>
                </a:r>
              </a:p>
            </c:rich>
          </c:tx>
          <c:overlay val="0"/>
        </c:title>
        <c:numFmt formatCode="General" sourceLinked="1"/>
        <c:majorTickMark val="out"/>
        <c:minorTickMark val="none"/>
        <c:tickLblPos val="nextTo"/>
        <c:crossAx val="1601066703"/>
        <c:crosses val="autoZero"/>
        <c:auto val="1"/>
        <c:lblAlgn val="ctr"/>
        <c:lblOffset val="100"/>
        <c:noMultiLvlLbl val="0"/>
      </c:catAx>
      <c:valAx>
        <c:axId val="1601066703"/>
        <c:scaling>
          <c:orientation val="minMax"/>
        </c:scaling>
        <c:delete val="0"/>
        <c:axPos val="l"/>
        <c:majorGridlines/>
        <c:title>
          <c:tx>
            <c:rich>
              <a:bodyPr/>
              <a:lstStyle/>
              <a:p>
                <a:pPr>
                  <a:defRPr/>
                </a:pPr>
                <a:r>
                  <a:rPr lang="en-US"/>
                  <a:t>Gamma</a:t>
                </a:r>
              </a:p>
            </c:rich>
          </c:tx>
          <c:overlay val="0"/>
        </c:title>
        <c:numFmt formatCode="#,##0.0000;\(#,##0.0000\)" sourceLinked="1"/>
        <c:majorTickMark val="out"/>
        <c:minorTickMark val="none"/>
        <c:tickLblPos val="nextTo"/>
        <c:crossAx val="160106382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Option Vega</a:t>
            </a:r>
          </a:p>
        </c:rich>
      </c:tx>
      <c:overlay val="0"/>
    </c:title>
    <c:autoTitleDeleted val="0"/>
    <c:plotArea>
      <c:layout/>
      <c:lineChart>
        <c:grouping val="standard"/>
        <c:varyColors val="0"/>
        <c:ser>
          <c:idx val="0"/>
          <c:order val="0"/>
          <c:tx>
            <c:v>Vega</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Model'!$J$13:$J$174</c:f>
              <c:numCache>
                <c:formatCode>0.000%;\(0.000%\)</c:formatCode>
                <c:ptCount val="162"/>
                <c:pt idx="0">
                  <c:v>0.2859618192222968</c:v>
                </c:pt>
                <c:pt idx="1">
                  <c:v>0.29158314729711821</c:v>
                </c:pt>
                <c:pt idx="2">
                  <c:v>0.29715894170778223</c:v>
                </c:pt>
                <c:pt idx="3">
                  <c:v>0.30268722336310072</c:v>
                </c:pt>
                <c:pt idx="4">
                  <c:v>0.30816611950559752</c:v>
                </c:pt>
                <c:pt idx="5">
                  <c:v>0.31359386091713737</c:v>
                </c:pt>
                <c:pt idx="6">
                  <c:v>0.31896877910806892</c:v>
                </c:pt>
                <c:pt idx="7">
                  <c:v>0.32428930349894097</c:v>
                </c:pt>
                <c:pt idx="8">
                  <c:v>0.32955395860296222</c:v>
                </c:pt>
                <c:pt idx="9">
                  <c:v>0.33476136121655004</c:v>
                </c:pt>
                <c:pt idx="10">
                  <c:v>0.33991021762454482</c:v>
                </c:pt>
                <c:pt idx="11">
                  <c:v>0.34499932082597418</c:v>
                </c:pt>
                <c:pt idx="12">
                  <c:v>0.35002754778559608</c:v>
                </c:pt>
                <c:pt idx="13">
                  <c:v>0.35499385671585632</c:v>
                </c:pt>
                <c:pt idx="14">
                  <c:v>0.35989728439335222</c:v>
                </c:pt>
                <c:pt idx="15">
                  <c:v>0.36473694351338587</c:v>
                </c:pt>
                <c:pt idx="16">
                  <c:v>0.36951202008573253</c:v>
                </c:pt>
                <c:pt idx="17">
                  <c:v>0.37422177087432923</c:v>
                </c:pt>
                <c:pt idx="18">
                  <c:v>0.37886552088319569</c:v>
                </c:pt>
                <c:pt idx="19">
                  <c:v>0.38344266089055412</c:v>
                </c:pt>
                <c:pt idx="20">
                  <c:v>0.38795264503278576</c:v>
                </c:pt>
                <c:pt idx="21">
                  <c:v>0.39239498843957232</c:v>
                </c:pt>
                <c:pt idx="22">
                  <c:v>0.39676926492130066</c:v>
                </c:pt>
                <c:pt idx="23">
                  <c:v>0.40107510470956731</c:v>
                </c:pt>
                <c:pt idx="24">
                  <c:v>0.40531219225139903</c:v>
                </c:pt>
                <c:pt idx="25">
                  <c:v>0.4094802640576044</c:v>
                </c:pt>
                <c:pt idx="26">
                  <c:v>0.41357910660549529</c:v>
                </c:pt>
                <c:pt idx="27">
                  <c:v>0.41760855429604865</c:v>
                </c:pt>
                <c:pt idx="28">
                  <c:v>0.42156848746543907</c:v>
                </c:pt>
                <c:pt idx="29">
                  <c:v>0.42545883045073768</c:v>
                </c:pt>
                <c:pt idx="30">
                  <c:v>0.42927954970945581</c:v>
                </c:pt>
                <c:pt idx="31">
                  <c:v>0.43303065199251167</c:v>
                </c:pt>
                <c:pt idx="32">
                  <c:v>0.43671218257009875</c:v>
                </c:pt>
                <c:pt idx="33">
                  <c:v>0.44032422350985911</c:v>
                </c:pt>
                <c:pt idx="34">
                  <c:v>0.44386689200668911</c:v>
                </c:pt>
                <c:pt idx="35">
                  <c:v>0.44734033876344403</c:v>
                </c:pt>
                <c:pt idx="36">
                  <c:v>0.45074474642175072</c:v>
                </c:pt>
                <c:pt idx="37">
                  <c:v>0.45408032804209358</c:v>
                </c:pt>
                <c:pt idx="38">
                  <c:v>0.45734732563229652</c:v>
                </c:pt>
                <c:pt idx="39">
                  <c:v>0.46054600872349005</c:v>
                </c:pt>
                <c:pt idx="40">
                  <c:v>0.46367667299262572</c:v>
                </c:pt>
                <c:pt idx="41">
                  <c:v>0.46673963893057463</c:v>
                </c:pt>
                <c:pt idx="42">
                  <c:v>0.4697352505548314</c:v>
                </c:pt>
                <c:pt idx="43">
                  <c:v>0.47266387416582967</c:v>
                </c:pt>
                <c:pt idx="44">
                  <c:v>0.47552589714586319</c:v>
                </c:pt>
                <c:pt idx="45">
                  <c:v>0.47832172679960461</c:v>
                </c:pt>
                <c:pt idx="46">
                  <c:v>0.48105178923520692</c:v>
                </c:pt>
                <c:pt idx="47">
                  <c:v>0.48371652828497314</c:v>
                </c:pt>
                <c:pt idx="48">
                  <c:v>0.48631640446458252</c:v>
                </c:pt>
                <c:pt idx="49">
                  <c:v>0.48885189396986584</c:v>
                </c:pt>
                <c:pt idx="50">
                  <c:v>0.49132348771012779</c:v>
                </c:pt>
                <c:pt idx="51">
                  <c:v>0.49373169037702519</c:v>
                </c:pt>
                <c:pt idx="52">
                  <c:v>0.49607701954801514</c:v>
                </c:pt>
                <c:pt idx="53">
                  <c:v>0.49836000482340576</c:v>
                </c:pt>
                <c:pt idx="54">
                  <c:v>0.50058118699604626</c:v>
                </c:pt>
                <c:pt idx="55">
                  <c:v>0.50274111725271442</c:v>
                </c:pt>
                <c:pt idx="56">
                  <c:v>0.50484035640626912</c:v>
                </c:pt>
                <c:pt idx="57">
                  <c:v>0.50687947415765389</c:v>
                </c:pt>
                <c:pt idx="58">
                  <c:v>0.50885904838685203</c:v>
                </c:pt>
                <c:pt idx="59">
                  <c:v>0.51077966447191137</c:v>
                </c:pt>
                <c:pt idx="60">
                  <c:v>0.51264191463517461</c:v>
                </c:pt>
                <c:pt idx="61">
                  <c:v>0.51444639731586739</c:v>
                </c:pt>
                <c:pt idx="62">
                  <c:v>0.51619371656821367</c:v>
                </c:pt>
                <c:pt idx="63">
                  <c:v>0.51788448148427213</c:v>
                </c:pt>
                <c:pt idx="64">
                  <c:v>0.51951930564069426</c:v>
                </c:pt>
                <c:pt idx="65">
                  <c:v>0.52109880656863561</c:v>
                </c:pt>
                <c:pt idx="66">
                  <c:v>0.52262360524606222</c:v>
                </c:pt>
                <c:pt idx="67">
                  <c:v>0.52409432561171454</c:v>
                </c:pt>
                <c:pt idx="68">
                  <c:v>0.52551159410001202</c:v>
                </c:pt>
                <c:pt idx="69">
                  <c:v>0.52687603919619697</c:v>
                </c:pt>
                <c:pt idx="70">
                  <c:v>0.52818829101103471</c:v>
                </c:pt>
                <c:pt idx="71">
                  <c:v>0.52944898087440806</c:v>
                </c:pt>
                <c:pt idx="72">
                  <c:v>0.53065874094715948</c:v>
                </c:pt>
                <c:pt idx="73">
                  <c:v>0.53181820385055079</c:v>
                </c:pt>
                <c:pt idx="74">
                  <c:v>0.53292800231273196</c:v>
                </c:pt>
                <c:pt idx="75">
                  <c:v>0.53398876883162383</c:v>
                </c:pt>
                <c:pt idx="76">
                  <c:v>0.53500113535363858</c:v>
                </c:pt>
                <c:pt idx="77">
                  <c:v>0.53596573296767613</c:v>
                </c:pt>
                <c:pt idx="78">
                  <c:v>0.53688319161385689</c:v>
                </c:pt>
                <c:pt idx="79">
                  <c:v>0.53775413980645725</c:v>
                </c:pt>
                <c:pt idx="80">
                  <c:v>0.53857920437054119</c:v>
                </c:pt>
                <c:pt idx="81">
                  <c:v>0.53935901019178789</c:v>
                </c:pt>
                <c:pt idx="82">
                  <c:v>0.54009417997903542</c:v>
                </c:pt>
                <c:pt idx="83">
                  <c:v>0.54078533403907458</c:v>
                </c:pt>
                <c:pt idx="84">
                  <c:v>0.54143309006323725</c:v>
                </c:pt>
                <c:pt idx="85">
                  <c:v>0.54203806292534662</c:v>
                </c:pt>
                <c:pt idx="86">
                  <c:v>0.54260086449059797</c:v>
                </c:pt>
                <c:pt idx="87">
                  <c:v>0.54312210343496681</c:v>
                </c:pt>
                <c:pt idx="88">
                  <c:v>0.54360238507473857</c:v>
                </c:pt>
                <c:pt idx="89">
                  <c:v>0.54404231120578195</c:v>
                </c:pt>
                <c:pt idx="90">
                  <c:v>0.54444247995218786</c:v>
                </c:pt>
                <c:pt idx="91">
                  <c:v>0.54480348562391645</c:v>
                </c:pt>
                <c:pt idx="92">
                  <c:v>0.54512591858310278</c:v>
                </c:pt>
                <c:pt idx="93">
                  <c:v>0.5454103651186829</c:v>
                </c:pt>
                <c:pt idx="94">
                  <c:v>0.54565740732901624</c:v>
                </c:pt>
                <c:pt idx="95">
                  <c:v>0.54586762301218739</c:v>
                </c:pt>
                <c:pt idx="96">
                  <c:v>0.54604158556368265</c:v>
                </c:pt>
                <c:pt idx="97">
                  <c:v>0.5461798638811477</c:v>
                </c:pt>
                <c:pt idx="98">
                  <c:v>0.5462830222759425</c:v>
                </c:pt>
                <c:pt idx="99">
                  <c:v>0.54635162039121665</c:v>
                </c:pt>
                <c:pt idx="100">
                  <c:v>0.54638621312624069</c:v>
                </c:pt>
                <c:pt idx="101">
                  <c:v>0.54638735056673871</c:v>
                </c:pt>
                <c:pt idx="102">
                  <c:v>0.54635557792097134</c:v>
                </c:pt>
                <c:pt idx="103">
                  <c:v>0.54629143546133363</c:v>
                </c:pt>
                <c:pt idx="104">
                  <c:v>0.54619545847123496</c:v>
                </c:pt>
                <c:pt idx="105">
                  <c:v>0.54606817719703937</c:v>
                </c:pt>
                <c:pt idx="106">
                  <c:v>0.54591011680485213</c:v>
                </c:pt>
                <c:pt idx="107">
                  <c:v>0.54572179734194293</c:v>
                </c:pt>
                <c:pt idx="108">
                  <c:v>0.54550373370260941</c:v>
                </c:pt>
                <c:pt idx="109">
                  <c:v>0.54525643559828507</c:v>
                </c:pt>
                <c:pt idx="110">
                  <c:v>0.54498040753170895</c:v>
                </c:pt>
                <c:pt idx="111">
                  <c:v>0.54467614877497295</c:v>
                </c:pt>
                <c:pt idx="112">
                  <c:v>0.54434415335128061</c:v>
                </c:pt>
                <c:pt idx="113">
                  <c:v>0.54398491002024441</c:v>
                </c:pt>
                <c:pt idx="114">
                  <c:v>0.54359890226656593</c:v>
                </c:pt>
                <c:pt idx="115">
                  <c:v>0.54318660829194065</c:v>
                </c:pt>
                <c:pt idx="116">
                  <c:v>0.54274850101004224</c:v>
                </c:pt>
                <c:pt idx="117">
                  <c:v>0.54228504804443833</c:v>
                </c:pt>
                <c:pt idx="118">
                  <c:v>0.54179671172930288</c:v>
                </c:pt>
                <c:pt idx="119">
                  <c:v>0.54128394911279198</c:v>
                </c:pt>
                <c:pt idx="120">
                  <c:v>0.54074721196295106</c:v>
                </c:pt>
                <c:pt idx="121">
                  <c:v>0.5401869467760364</c:v>
                </c:pt>
                <c:pt idx="122">
                  <c:v>0.53960359478712616</c:v>
                </c:pt>
                <c:pt idx="123">
                  <c:v>0.53899759198290997</c:v>
                </c:pt>
                <c:pt idx="124">
                  <c:v>0.53836936911654631</c:v>
                </c:pt>
                <c:pt idx="125">
                  <c:v>0.53771935172448238</c:v>
                </c:pt>
                <c:pt idx="126">
                  <c:v>0.53704796014513256</c:v>
                </c:pt>
                <c:pt idx="127">
                  <c:v>0.53635560953932049</c:v>
                </c:pt>
                <c:pt idx="128">
                  <c:v>0.53564270991238794</c:v>
                </c:pt>
                <c:pt idx="129">
                  <c:v>0.53490966613788293</c:v>
                </c:pt>
                <c:pt idx="130">
                  <c:v>0.53415687798273626</c:v>
                </c:pt>
                <c:pt idx="131">
                  <c:v>0.53338474013384551</c:v>
                </c:pt>
                <c:pt idx="132">
                  <c:v>0.53259364222598715</c:v>
                </c:pt>
                <c:pt idx="133">
                  <c:v>0.53178396887097479</c:v>
                </c:pt>
                <c:pt idx="134">
                  <c:v>0.53095609968799518</c:v>
                </c:pt>
                <c:pt idx="135">
                  <c:v>0.53011040933504661</c:v>
                </c:pt>
                <c:pt idx="136">
                  <c:v>0.52924726754141249</c:v>
                </c:pt>
                <c:pt idx="137">
                  <c:v>0.52836703914110628</c:v>
                </c:pt>
                <c:pt idx="138">
                  <c:v>0.5274700841072204</c:v>
                </c:pt>
                <c:pt idx="139">
                  <c:v>0.52655675758712417</c:v>
                </c:pt>
                <c:pt idx="140">
                  <c:v>0.52562740993844803</c:v>
                </c:pt>
                <c:pt idx="141">
                  <c:v>0.52468238676580081</c:v>
                </c:pt>
                <c:pt idx="142">
                  <c:v>0.52372202895816566</c:v>
                </c:pt>
                <c:pt idx="143">
                  <c:v>0.52274667272692521</c:v>
                </c:pt>
                <c:pt idx="144">
                  <c:v>0.52175664964446411</c:v>
                </c:pt>
                <c:pt idx="145">
                  <c:v>0.52075228668330431</c:v>
                </c:pt>
                <c:pt idx="146">
                  <c:v>0.51973390625572635</c:v>
                </c:pt>
                <c:pt idx="147">
                  <c:v>0.5187018262538361</c:v>
                </c:pt>
                <c:pt idx="148">
                  <c:v>0.51765636009003224</c:v>
                </c:pt>
                <c:pt idx="149">
                  <c:v>0.51659781673783656</c:v>
                </c:pt>
                <c:pt idx="150">
                  <c:v>0.51552650077305107</c:v>
                </c:pt>
                <c:pt idx="151">
                  <c:v>0.51444271241520267</c:v>
                </c:pt>
                <c:pt idx="152">
                  <c:v>0.51334674756924203</c:v>
                </c:pt>
                <c:pt idx="153">
                  <c:v>0.51223889786746502</c:v>
                </c:pt>
                <c:pt idx="154">
                  <c:v>0.51111945071162201</c:v>
                </c:pt>
                <c:pt idx="155">
                  <c:v>0.50998868931518859</c:v>
                </c:pt>
                <c:pt idx="156">
                  <c:v>0.50884689274576522</c:v>
                </c:pt>
                <c:pt idx="157">
                  <c:v>0.50769433596758073</c:v>
                </c:pt>
                <c:pt idx="158">
                  <c:v>0.50653128988407337</c:v>
                </c:pt>
                <c:pt idx="159">
                  <c:v>0.50535802138052255</c:v>
                </c:pt>
                <c:pt idx="160">
                  <c:v>0.5041747933667089</c:v>
                </c:pt>
                <c:pt idx="161">
                  <c:v>0.50298186481958018</c:v>
                </c:pt>
              </c:numCache>
            </c:numRef>
          </c:val>
          <c:smooth val="0"/>
          <c:extLst>
            <c:ext xmlns:c16="http://schemas.microsoft.com/office/drawing/2014/chart" uri="{C3380CC4-5D6E-409C-BE32-E72D297353CC}">
              <c16:uniqueId val="{00000001-CD17-46C7-B1D1-DCA92D885EAD}"/>
            </c:ext>
          </c:extLst>
        </c:ser>
        <c:dLbls>
          <c:showLegendKey val="0"/>
          <c:showVal val="0"/>
          <c:showCatName val="0"/>
          <c:showSerName val="0"/>
          <c:showPercent val="0"/>
          <c:showBubbleSize val="0"/>
        </c:dLbls>
        <c:smooth val="0"/>
        <c:axId val="1601065743"/>
        <c:axId val="1601056143"/>
      </c:lineChart>
      <c:catAx>
        <c:axId val="1601065743"/>
        <c:scaling>
          <c:orientation val="minMax"/>
        </c:scaling>
        <c:delete val="0"/>
        <c:axPos val="b"/>
        <c:title>
          <c:tx>
            <c:rich>
              <a:bodyPr/>
              <a:lstStyle/>
              <a:p>
                <a:pPr>
                  <a:defRPr/>
                </a:pPr>
                <a:r>
                  <a:rPr lang="en-US"/>
                  <a:t>Stock Price</a:t>
                </a:r>
              </a:p>
            </c:rich>
          </c:tx>
          <c:overlay val="0"/>
        </c:title>
        <c:numFmt formatCode="General" sourceLinked="1"/>
        <c:majorTickMark val="out"/>
        <c:minorTickMark val="none"/>
        <c:tickLblPos val="nextTo"/>
        <c:crossAx val="1601056143"/>
        <c:crosses val="autoZero"/>
        <c:auto val="1"/>
        <c:lblAlgn val="ctr"/>
        <c:lblOffset val="100"/>
        <c:noMultiLvlLbl val="0"/>
      </c:catAx>
      <c:valAx>
        <c:axId val="1601056143"/>
        <c:scaling>
          <c:orientation val="minMax"/>
        </c:scaling>
        <c:delete val="0"/>
        <c:axPos val="l"/>
        <c:majorGridlines/>
        <c:title>
          <c:tx>
            <c:rich>
              <a:bodyPr/>
              <a:lstStyle/>
              <a:p>
                <a:pPr>
                  <a:defRPr/>
                </a:pPr>
                <a:r>
                  <a:rPr lang="en-US"/>
                  <a:t>Vega</a:t>
                </a:r>
              </a:p>
            </c:rich>
          </c:tx>
          <c:overlay val="0"/>
        </c:title>
        <c:numFmt formatCode="0.000%;\(0.000%\)" sourceLinked="1"/>
        <c:majorTickMark val="out"/>
        <c:minorTickMark val="none"/>
        <c:tickLblPos val="nextTo"/>
        <c:crossAx val="16010657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Option Thetas</a:t>
            </a:r>
          </a:p>
        </c:rich>
      </c:tx>
      <c:overlay val="0"/>
    </c:title>
    <c:autoTitleDeleted val="0"/>
    <c:plotArea>
      <c:layout/>
      <c:lineChart>
        <c:grouping val="standard"/>
        <c:varyColors val="0"/>
        <c:ser>
          <c:idx val="0"/>
          <c:order val="0"/>
          <c:tx>
            <c:v>Call Theta</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Model'!$H$13:$H$174</c:f>
              <c:numCache>
                <c:formatCode>#,##0.0000;\(#,##0.0000\)</c:formatCode>
                <c:ptCount val="162"/>
                <c:pt idx="0">
                  <c:v>-12.159979000851589</c:v>
                </c:pt>
                <c:pt idx="1">
                  <c:v>-12.36327125078906</c:v>
                </c:pt>
                <c:pt idx="2">
                  <c:v>-12.564578818402699</c:v>
                </c:pt>
                <c:pt idx="3">
                  <c:v>-12.763839837892666</c:v>
                </c:pt>
                <c:pt idx="4">
                  <c:v>-12.960996129411365</c:v>
                </c:pt>
                <c:pt idx="5">
                  <c:v>-13.155993095711498</c:v>
                </c:pt>
                <c:pt idx="6">
                  <c:v>-13.348779618632355</c:v>
                </c:pt>
                <c:pt idx="7">
                  <c:v>-13.539307955719911</c:v>
                </c:pt>
                <c:pt idx="8">
                  <c:v>-13.727533637246013</c:v>
                </c:pt>
                <c:pt idx="9">
                  <c:v>-13.913415363863891</c:v>
                </c:pt>
                <c:pt idx="10">
                  <c:v>-14.096914905111207</c:v>
                </c:pt>
                <c:pt idx="11">
                  <c:v>-14.277996998948407</c:v>
                </c:pt>
                <c:pt idx="12">
                  <c:v>-14.456629252497935</c:v>
                </c:pt>
                <c:pt idx="13">
                  <c:v>-14.63278204413001</c:v>
                </c:pt>
                <c:pt idx="14">
                  <c:v>-14.806428427022226</c:v>
                </c:pt>
                <c:pt idx="15">
                  <c:v>-14.977544034303264</c:v>
                </c:pt>
                <c:pt idx="16">
                  <c:v>-15.146106985875694</c:v>
                </c:pt>
                <c:pt idx="17">
                  <c:v>-15.312097796998692</c:v>
                </c:pt>
                <c:pt idx="18">
                  <c:v>-15.475499288698586</c:v>
                </c:pt>
                <c:pt idx="19">
                  <c:v>-15.636296500063448</c:v>
                </c:pt>
                <c:pt idx="20">
                  <c:v>-15.794476602467313</c:v>
                </c:pt>
                <c:pt idx="21">
                  <c:v>-15.950028815759794</c:v>
                </c:pt>
                <c:pt idx="22">
                  <c:v>-16.102944326448196</c:v>
                </c:pt>
                <c:pt idx="23">
                  <c:v>-16.253216207891139</c:v>
                </c:pt>
                <c:pt idx="24">
                  <c:v>-16.400839342515653</c:v>
                </c:pt>
                <c:pt idx="25">
                  <c:v>-16.545810346063007</c:v>
                </c:pt>
                <c:pt idx="26">
                  <c:v>-16.688127493862961</c:v>
                </c:pt>
                <c:pt idx="27">
                  <c:v>-16.827790649130669</c:v>
                </c:pt>
                <c:pt idx="28">
                  <c:v>-16.964801193275896</c:v>
                </c:pt>
                <c:pt idx="29">
                  <c:v>-17.099161958210058</c:v>
                </c:pt>
                <c:pt idx="30">
                  <c:v>-17.230877160632751</c:v>
                </c:pt>
                <c:pt idx="31">
                  <c:v>-17.35995233827639</c:v>
                </c:pt>
                <c:pt idx="32">
                  <c:v>-17.486394288084412</c:v>
                </c:pt>
                <c:pt idx="33">
                  <c:v>-17.610211006296201</c:v>
                </c:pt>
                <c:pt idx="34">
                  <c:v>-17.731411630409617</c:v>
                </c:pt>
                <c:pt idx="35">
                  <c:v>-17.850006382990077</c:v>
                </c:pt>
                <c:pt idx="36">
                  <c:v>-17.96600651729355</c:v>
                </c:pt>
                <c:pt idx="37">
                  <c:v>-18.07942426466948</c:v>
                </c:pt>
                <c:pt idx="38">
                  <c:v>-18.190272783708473</c:v>
                </c:pt>
                <c:pt idx="39">
                  <c:v>-18.298566111098658</c:v>
                </c:pt>
                <c:pt idx="40">
                  <c:v>-18.404319114153893</c:v>
                </c:pt>
                <c:pt idx="41">
                  <c:v>-18.507547444976396</c:v>
                </c:pt>
                <c:pt idx="42">
                  <c:v>-18.608267496215991</c:v>
                </c:pt>
                <c:pt idx="43">
                  <c:v>-18.706496358387859</c:v>
                </c:pt>
                <c:pt idx="44">
                  <c:v>-18.802251778710492</c:v>
                </c:pt>
                <c:pt idx="45">
                  <c:v>-18.89555212142556</c:v>
                </c:pt>
                <c:pt idx="46">
                  <c:v>-18.986416329561489</c:v>
                </c:pt>
                <c:pt idx="47">
                  <c:v>-19.074863888102566</c:v>
                </c:pt>
                <c:pt idx="48">
                  <c:v>-19.16091478852579</c:v>
                </c:pt>
                <c:pt idx="49">
                  <c:v>-19.244589494667849</c:v>
                </c:pt>
                <c:pt idx="50">
                  <c:v>-19.325908909885065</c:v>
                </c:pt>
                <c:pt idx="51">
                  <c:v>-19.404894345469557</c:v>
                </c:pt>
                <c:pt idx="52">
                  <c:v>-19.481567490285268</c:v>
                </c:pt>
                <c:pt idx="53">
                  <c:v>-19.555950381588197</c:v>
                </c:pt>
                <c:pt idx="54">
                  <c:v>-19.628065376995465</c:v>
                </c:pt>
                <c:pt idx="55">
                  <c:v>-19.697935127568797</c:v>
                </c:pt>
                <c:pt idx="56">
                  <c:v>-19.765582551978184</c:v>
                </c:pt>
                <c:pt idx="57">
                  <c:v>-19.831030811712552</c:v>
                </c:pt>
                <c:pt idx="58">
                  <c:v>-19.894303287304613</c:v>
                </c:pt>
                <c:pt idx="59">
                  <c:v>-19.955423555537863</c:v>
                </c:pt>
                <c:pt idx="60">
                  <c:v>-20.014415367604464</c:v>
                </c:pt>
                <c:pt idx="61">
                  <c:v>-20.071302628183243</c:v>
                </c:pt>
                <c:pt idx="62">
                  <c:v>-20.126109375407903</c:v>
                </c:pt>
                <c:pt idx="63">
                  <c:v>-20.178859761696252</c:v>
                </c:pt>
                <c:pt idx="64">
                  <c:v>-20.229578035411784</c:v>
                </c:pt>
                <c:pt idx="65">
                  <c:v>-20.278288523329881</c:v>
                </c:pt>
                <c:pt idx="66">
                  <c:v>-20.325015613881469</c:v>
                </c:pt>
                <c:pt idx="67">
                  <c:v>-20.369783741147707</c:v>
                </c:pt>
                <c:pt idx="68">
                  <c:v>-20.412617369579959</c:v>
                </c:pt>
                <c:pt idx="69">
                  <c:v>-20.453540979420055</c:v>
                </c:pt>
                <c:pt idx="70">
                  <c:v>-20.492579052796454</c:v>
                </c:pt>
                <c:pt idx="71">
                  <c:v>-20.529756060472586</c:v>
                </c:pt>
                <c:pt idx="72">
                  <c:v>-20.565096449224505</c:v>
                </c:pt>
                <c:pt idx="73">
                  <c:v>-20.598624629825313</c:v>
                </c:pt>
                <c:pt idx="74">
                  <c:v>-20.630364965614795</c:v>
                </c:pt>
                <c:pt idx="75">
                  <c:v>-20.660341761633124</c:v>
                </c:pt>
                <c:pt idx="76">
                  <c:v>-20.688579254298162</c:v>
                </c:pt>
                <c:pt idx="77">
                  <c:v>-20.715101601606598</c:v>
                </c:pt>
                <c:pt idx="78">
                  <c:v>-20.739932873839649</c:v>
                </c:pt>
                <c:pt idx="79">
                  <c:v>-20.763097044754613</c:v>
                </c:pt>
                <c:pt idx="80">
                  <c:v>-20.784617983244353</c:v>
                </c:pt>
                <c:pt idx="81">
                  <c:v>-20.804519445447006</c:v>
                </c:pt>
                <c:pt idx="82">
                  <c:v>-20.822825067289148</c:v>
                </c:pt>
                <c:pt idx="83">
                  <c:v>-20.839558357445856</c:v>
                </c:pt>
                <c:pt idx="84">
                  <c:v>-20.854742690701791</c:v>
                </c:pt>
                <c:pt idx="85">
                  <c:v>-20.868401301698032</c:v>
                </c:pt>
                <c:pt idx="86">
                  <c:v>-20.880557279049533</c:v>
                </c:pt>
                <c:pt idx="87">
                  <c:v>-20.891233559819071</c:v>
                </c:pt>
                <c:pt idx="88">
                  <c:v>-20.900452924333532</c:v>
                </c:pt>
                <c:pt idx="89">
                  <c:v>-20.908237991329187</c:v>
                </c:pt>
                <c:pt idx="90">
                  <c:v>-20.914611213412911</c:v>
                </c:pt>
                <c:pt idx="91">
                  <c:v>-20.919594872826693</c:v>
                </c:pt>
                <c:pt idx="92">
                  <c:v>-20.923211077503368</c:v>
                </c:pt>
                <c:pt idx="93">
                  <c:v>-20.925481757401748</c:v>
                </c:pt>
                <c:pt idx="94">
                  <c:v>-20.926428661109814</c:v>
                </c:pt>
                <c:pt idx="95">
                  <c:v>-20.926073352705039</c:v>
                </c:pt>
                <c:pt idx="96">
                  <c:v>-20.924437208861168</c:v>
                </c:pt>
                <c:pt idx="97">
                  <c:v>-20.921541416191321</c:v>
                </c:pt>
                <c:pt idx="98">
                  <c:v>-20.917406968817524</c:v>
                </c:pt>
                <c:pt idx="99">
                  <c:v>-20.912054666157108</c:v>
                </c:pt>
                <c:pt idx="100">
                  <c:v>-20.90550511091681</c:v>
                </c:pt>
                <c:pt idx="101">
                  <c:v>-20.897778707285731</c:v>
                </c:pt>
                <c:pt idx="102">
                  <c:v>-20.888895659318575</c:v>
                </c:pt>
                <c:pt idx="103">
                  <c:v>-20.878875969500896</c:v>
                </c:pt>
                <c:pt idx="104">
                  <c:v>-20.867739437488471</c:v>
                </c:pt>
                <c:pt idx="105">
                  <c:v>-20.855505659013019</c:v>
                </c:pt>
                <c:pt idx="106">
                  <c:v>-20.842194024947023</c:v>
                </c:pt>
                <c:pt idx="107">
                  <c:v>-20.827823720520364</c:v>
                </c:pt>
                <c:pt idx="108">
                  <c:v>-20.812413724682013</c:v>
                </c:pt>
                <c:pt idx="109">
                  <c:v>-20.795982809600144</c:v>
                </c:pt>
                <c:pt idx="110">
                  <c:v>-20.778549540294275</c:v>
                </c:pt>
                <c:pt idx="111">
                  <c:v>-20.760132274393264</c:v>
                </c:pt>
                <c:pt idx="112">
                  <c:v>-20.740749162013369</c:v>
                </c:pt>
                <c:pt idx="113">
                  <c:v>-20.720418145750504</c:v>
                </c:pt>
                <c:pt idx="114">
                  <c:v>-20.69915696078138</c:v>
                </c:pt>
                <c:pt idx="115">
                  <c:v>-20.676983135068113</c:v>
                </c:pt>
                <c:pt idx="116">
                  <c:v>-20.653913989661358</c:v>
                </c:pt>
                <c:pt idx="117">
                  <c:v>-20.629966639096931</c:v>
                </c:pt>
                <c:pt idx="118">
                  <c:v>-20.605157991881352</c:v>
                </c:pt>
                <c:pt idx="119">
                  <c:v>-20.579504751061716</c:v>
                </c:pt>
                <c:pt idx="120">
                  <c:v>-20.553023414875529</c:v>
                </c:pt>
                <c:pt idx="121">
                  <c:v>-20.525730277476409</c:v>
                </c:pt>
                <c:pt idx="122">
                  <c:v>-20.497641429731537</c:v>
                </c:pt>
                <c:pt idx="123">
                  <c:v>-20.46877276008701</c:v>
                </c:pt>
                <c:pt idx="124">
                  <c:v>-20.439139955497463</c:v>
                </c:pt>
                <c:pt idx="125">
                  <c:v>-20.408758502416287</c:v>
                </c:pt>
                <c:pt idx="126">
                  <c:v>-20.377643687843044</c:v>
                </c:pt>
                <c:pt idx="127">
                  <c:v>-20.345810600424805</c:v>
                </c:pt>
                <c:pt idx="128">
                  <c:v>-20.313274131608253</c:v>
                </c:pt>
                <c:pt idx="129">
                  <c:v>-20.280048976839456</c:v>
                </c:pt>
                <c:pt idx="130">
                  <c:v>-20.246149636808457</c:v>
                </c:pt>
                <c:pt idx="131">
                  <c:v>-20.211590418735828</c:v>
                </c:pt>
                <c:pt idx="132">
                  <c:v>-20.176385437698571</c:v>
                </c:pt>
                <c:pt idx="133">
                  <c:v>-20.14054861799266</c:v>
                </c:pt>
                <c:pt idx="134">
                  <c:v>-20.104093694529954</c:v>
                </c:pt>
                <c:pt idx="135">
                  <c:v>-20.067034214266851</c:v>
                </c:pt>
                <c:pt idx="136">
                  <c:v>-20.02938353766265</c:v>
                </c:pt>
                <c:pt idx="137">
                  <c:v>-19.991154840165336</c:v>
                </c:pt>
                <c:pt idx="138">
                  <c:v>-19.952361113722606</c:v>
                </c:pt>
                <c:pt idx="139">
                  <c:v>-19.913015168316363</c:v>
                </c:pt>
                <c:pt idx="140">
                  <c:v>-19.873129633518527</c:v>
                </c:pt>
                <c:pt idx="141">
                  <c:v>-19.832716960066506</c:v>
                </c:pt>
                <c:pt idx="142">
                  <c:v>-19.791789421456428</c:v>
                </c:pt>
                <c:pt idx="143">
                  <c:v>-19.75035911555258</c:v>
                </c:pt>
                <c:pt idx="144">
                  <c:v>-19.708437966211367</c:v>
                </c:pt>
                <c:pt idx="145">
                  <c:v>-19.666037724918262</c:v>
                </c:pt>
                <c:pt idx="146">
                  <c:v>-19.623169972436294</c:v>
                </c:pt>
                <c:pt idx="147">
                  <c:v>-19.579846120464673</c:v>
                </c:pt>
                <c:pt idx="148">
                  <c:v>-19.536077413306213</c:v>
                </c:pt>
                <c:pt idx="149">
                  <c:v>-19.491874929542185</c:v>
                </c:pt>
                <c:pt idx="150">
                  <c:v>-19.447249583713546</c:v>
                </c:pt>
                <c:pt idx="151">
                  <c:v>-19.402212128007221</c:v>
                </c:pt>
                <c:pt idx="152">
                  <c:v>-19.356773153946371</c:v>
                </c:pt>
                <c:pt idx="153">
                  <c:v>-19.310943094083623</c:v>
                </c:pt>
                <c:pt idx="154">
                  <c:v>-19.264732223696203</c:v>
                </c:pt>
                <c:pt idx="155">
                  <c:v>-19.218150662482042</c:v>
                </c:pt>
                <c:pt idx="156">
                  <c:v>-19.171208376255873</c:v>
                </c:pt>
                <c:pt idx="157">
                  <c:v>-19.123915178644538</c:v>
                </c:pt>
                <c:pt idx="158">
                  <c:v>-19.076280732780589</c:v>
                </c:pt>
                <c:pt idx="159">
                  <c:v>-19.028314552993464</c:v>
                </c:pt>
                <c:pt idx="160">
                  <c:v>-18.98002600649739</c:v>
                </c:pt>
                <c:pt idx="161">
                  <c:v>-18.931424315075439</c:v>
                </c:pt>
              </c:numCache>
            </c:numRef>
          </c:val>
          <c:smooth val="0"/>
          <c:extLst>
            <c:ext xmlns:c16="http://schemas.microsoft.com/office/drawing/2014/chart" uri="{C3380CC4-5D6E-409C-BE32-E72D297353CC}">
              <c16:uniqueId val="{00000001-A4C5-462D-91B5-83687E944E57}"/>
            </c:ext>
          </c:extLst>
        </c:ser>
        <c:ser>
          <c:idx val="1"/>
          <c:order val="1"/>
          <c:tx>
            <c:v>Put Theta</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Model'!$I$13:$I$174</c:f>
              <c:numCache>
                <c:formatCode>#,##0.0000;\(#,##0.0000\)</c:formatCode>
                <c:ptCount val="162"/>
                <c:pt idx="0">
                  <c:v>-9.0085896404319694</c:v>
                </c:pt>
                <c:pt idx="1">
                  <c:v>-9.1734503128033467</c:v>
                </c:pt>
                <c:pt idx="2">
                  <c:v>-9.3363263028508925</c:v>
                </c:pt>
                <c:pt idx="3">
                  <c:v>-9.4971557447747674</c:v>
                </c:pt>
                <c:pt idx="4">
                  <c:v>-9.6558804587273741</c:v>
                </c:pt>
                <c:pt idx="5">
                  <c:v>-9.8124458474614134</c:v>
                </c:pt>
                <c:pt idx="6">
                  <c:v>-9.9668007928161781</c:v>
                </c:pt>
                <c:pt idx="7">
                  <c:v>-10.118897552337641</c:v>
                </c:pt>
                <c:pt idx="8">
                  <c:v>-10.26869165629765</c:v>
                </c:pt>
                <c:pt idx="9">
                  <c:v>-10.416141805349433</c:v>
                </c:pt>
                <c:pt idx="10">
                  <c:v>-10.561209769030658</c:v>
                </c:pt>
                <c:pt idx="11">
                  <c:v>-10.703860285301765</c:v>
                </c:pt>
                <c:pt idx="12">
                  <c:v>-10.8440609612852</c:v>
                </c:pt>
                <c:pt idx="13">
                  <c:v>-10.981782175351182</c:v>
                </c:pt>
                <c:pt idx="14">
                  <c:v>-11.116996980677305</c:v>
                </c:pt>
                <c:pt idx="15">
                  <c:v>-11.249681010392251</c:v>
                </c:pt>
                <c:pt idx="16">
                  <c:v>-11.379812384398587</c:v>
                </c:pt>
                <c:pt idx="17">
                  <c:v>-11.507371617955494</c:v>
                </c:pt>
                <c:pt idx="18">
                  <c:v>-11.632341532089294</c:v>
                </c:pt>
                <c:pt idx="19">
                  <c:v>-11.754707165888064</c:v>
                </c:pt>
                <c:pt idx="20">
                  <c:v>-11.874455690725835</c:v>
                </c:pt>
                <c:pt idx="21">
                  <c:v>-11.991576326452222</c:v>
                </c:pt>
                <c:pt idx="22">
                  <c:v>-12.106060259574528</c:v>
                </c:pt>
                <c:pt idx="23">
                  <c:v>-12.217900563451384</c:v>
                </c:pt>
                <c:pt idx="24">
                  <c:v>-12.327092120509803</c:v>
                </c:pt>
                <c:pt idx="25">
                  <c:v>-12.433631546491064</c:v>
                </c:pt>
                <c:pt idx="26">
                  <c:v>-12.537517116724926</c:v>
                </c:pt>
                <c:pt idx="27">
                  <c:v>-12.638748694426539</c:v>
                </c:pt>
                <c:pt idx="28">
                  <c:v>-12.737327661005672</c:v>
                </c:pt>
                <c:pt idx="29">
                  <c:v>-12.833256848373741</c:v>
                </c:pt>
                <c:pt idx="30">
                  <c:v>-12.926540473230343</c:v>
                </c:pt>
                <c:pt idx="31">
                  <c:v>-13.017184073307888</c:v>
                </c:pt>
                <c:pt idx="32">
                  <c:v>-13.105194445549818</c:v>
                </c:pt>
                <c:pt idx="33">
                  <c:v>-13.190579586195515</c:v>
                </c:pt>
                <c:pt idx="34">
                  <c:v>-13.273348632742838</c:v>
                </c:pt>
                <c:pt idx="35">
                  <c:v>-13.353511807757206</c:v>
                </c:pt>
                <c:pt idx="36">
                  <c:v>-13.431080364494584</c:v>
                </c:pt>
                <c:pt idx="37">
                  <c:v>-13.50606653430442</c:v>
                </c:pt>
                <c:pt idx="38">
                  <c:v>-13.578483475777322</c:v>
                </c:pt>
                <c:pt idx="39">
                  <c:v>-13.648345225601414</c:v>
                </c:pt>
                <c:pt idx="40">
                  <c:v>-13.715666651090554</c:v>
                </c:pt>
                <c:pt idx="41">
                  <c:v>-13.780463404346964</c:v>
                </c:pt>
                <c:pt idx="42">
                  <c:v>-13.842751878020467</c:v>
                </c:pt>
                <c:pt idx="43">
                  <c:v>-13.902549162626245</c:v>
                </c:pt>
                <c:pt idx="44">
                  <c:v>-13.959873005382782</c:v>
                </c:pt>
                <c:pt idx="45">
                  <c:v>-14.014741770531758</c:v>
                </c:pt>
                <c:pt idx="46">
                  <c:v>-14.067174401101594</c:v>
                </c:pt>
                <c:pt idx="47">
                  <c:v>-14.117190382076577</c:v>
                </c:pt>
                <c:pt idx="48">
                  <c:v>-14.164809704933708</c:v>
                </c:pt>
                <c:pt idx="49">
                  <c:v>-14.210052833509675</c:v>
                </c:pt>
                <c:pt idx="50">
                  <c:v>-14.252940671160797</c:v>
                </c:pt>
                <c:pt idx="51">
                  <c:v>-14.293494529179197</c:v>
                </c:pt>
                <c:pt idx="52">
                  <c:v>-14.331736096428818</c:v>
                </c:pt>
                <c:pt idx="53">
                  <c:v>-14.367687410165651</c:v>
                </c:pt>
                <c:pt idx="54">
                  <c:v>-14.401370828006829</c:v>
                </c:pt>
                <c:pt idx="55">
                  <c:v>-14.432809001014064</c:v>
                </c:pt>
                <c:pt idx="56">
                  <c:v>-14.462024847857361</c:v>
                </c:pt>
                <c:pt idx="57">
                  <c:v>-14.489041530025634</c:v>
                </c:pt>
                <c:pt idx="58">
                  <c:v>-14.513882428051604</c:v>
                </c:pt>
                <c:pt idx="59">
                  <c:v>-14.536571118718761</c:v>
                </c:pt>
                <c:pt idx="60">
                  <c:v>-14.557131353219267</c:v>
                </c:pt>
                <c:pt idx="61">
                  <c:v>-14.575587036231953</c:v>
                </c:pt>
                <c:pt idx="62">
                  <c:v>-14.591962205890521</c:v>
                </c:pt>
                <c:pt idx="63">
                  <c:v>-14.606281014612778</c:v>
                </c:pt>
                <c:pt idx="64">
                  <c:v>-14.618567710762218</c:v>
                </c:pt>
                <c:pt idx="65">
                  <c:v>-14.628846621114221</c:v>
                </c:pt>
                <c:pt idx="66">
                  <c:v>-14.637142134099715</c:v>
                </c:pt>
                <c:pt idx="67">
                  <c:v>-14.643478683799859</c:v>
                </c:pt>
                <c:pt idx="68">
                  <c:v>-14.647880734666019</c:v>
                </c:pt>
                <c:pt idx="69">
                  <c:v>-14.650372766940023</c:v>
                </c:pt>
                <c:pt idx="70">
                  <c:v>-14.650979262750329</c:v>
                </c:pt>
                <c:pt idx="71">
                  <c:v>-14.649724692860367</c:v>
                </c:pt>
                <c:pt idx="72">
                  <c:v>-14.646633504046196</c:v>
                </c:pt>
                <c:pt idx="73">
                  <c:v>-14.64173010708091</c:v>
                </c:pt>
                <c:pt idx="74">
                  <c:v>-14.635038865304299</c:v>
                </c:pt>
                <c:pt idx="75">
                  <c:v>-14.626584083756534</c:v>
                </c:pt>
                <c:pt idx="76">
                  <c:v>-14.61638999885548</c:v>
                </c:pt>
                <c:pt idx="77">
                  <c:v>-14.604480768597824</c:v>
                </c:pt>
                <c:pt idx="78">
                  <c:v>-14.590880463264778</c:v>
                </c:pt>
                <c:pt idx="79">
                  <c:v>-14.575613056613651</c:v>
                </c:pt>
                <c:pt idx="80">
                  <c:v>-14.558702417537297</c:v>
                </c:pt>
                <c:pt idx="81">
                  <c:v>-14.540172302173861</c:v>
                </c:pt>
                <c:pt idx="82">
                  <c:v>-14.520046346449909</c:v>
                </c:pt>
                <c:pt idx="83">
                  <c:v>-14.498348059040524</c:v>
                </c:pt>
                <c:pt idx="84">
                  <c:v>-14.475100814730364</c:v>
                </c:pt>
                <c:pt idx="85">
                  <c:v>-14.450327848160514</c:v>
                </c:pt>
                <c:pt idx="86">
                  <c:v>-14.424052247945921</c:v>
                </c:pt>
                <c:pt idx="87">
                  <c:v>-14.396296951149367</c:v>
                </c:pt>
                <c:pt idx="88">
                  <c:v>-14.367084738097734</c:v>
                </c:pt>
                <c:pt idx="89">
                  <c:v>-14.336438227527296</c:v>
                </c:pt>
                <c:pt idx="90">
                  <c:v>-14.30437987204493</c:v>
                </c:pt>
                <c:pt idx="91">
                  <c:v>-14.270931953892614</c:v>
                </c:pt>
                <c:pt idx="92">
                  <c:v>-14.236116581003198</c:v>
                </c:pt>
                <c:pt idx="93">
                  <c:v>-14.199955683335483</c:v>
                </c:pt>
                <c:pt idx="94">
                  <c:v>-14.162471009477459</c:v>
                </c:pt>
                <c:pt idx="95">
                  <c:v>-14.123684123506589</c:v>
                </c:pt>
                <c:pt idx="96">
                  <c:v>-14.083616402096627</c:v>
                </c:pt>
                <c:pt idx="97">
                  <c:v>-14.042289031860687</c:v>
                </c:pt>
                <c:pt idx="98">
                  <c:v>-13.999723006920798</c:v>
                </c:pt>
                <c:pt idx="99">
                  <c:v>-13.95593912669429</c:v>
                </c:pt>
                <c:pt idx="100">
                  <c:v>-13.910957993887898</c:v>
                </c:pt>
                <c:pt idx="101">
                  <c:v>-13.864800012690726</c:v>
                </c:pt>
                <c:pt idx="102">
                  <c:v>-13.817485387157475</c:v>
                </c:pt>
                <c:pt idx="103">
                  <c:v>-13.769034119773705</c:v>
                </c:pt>
                <c:pt idx="104">
                  <c:v>-13.719466010195186</c:v>
                </c:pt>
                <c:pt idx="105">
                  <c:v>-13.668800654153639</c:v>
                </c:pt>
                <c:pt idx="106">
                  <c:v>-13.617057442521553</c:v>
                </c:pt>
                <c:pt idx="107">
                  <c:v>-13.564255560528801</c:v>
                </c:pt>
                <c:pt idx="108">
                  <c:v>-13.510413987124355</c:v>
                </c:pt>
                <c:pt idx="109">
                  <c:v>-13.455551494476396</c:v>
                </c:pt>
                <c:pt idx="110">
                  <c:v>-13.399686647604433</c:v>
                </c:pt>
                <c:pt idx="111">
                  <c:v>-13.342837804137329</c:v>
                </c:pt>
                <c:pt idx="112">
                  <c:v>-13.28502311419134</c:v>
                </c:pt>
                <c:pt idx="113">
                  <c:v>-13.226260520362384</c:v>
                </c:pt>
                <c:pt idx="114">
                  <c:v>-13.166567757827165</c:v>
                </c:pt>
                <c:pt idx="115">
                  <c:v>-13.105962354547806</c:v>
                </c:pt>
                <c:pt idx="116">
                  <c:v>-13.044461631574958</c:v>
                </c:pt>
                <c:pt idx="117">
                  <c:v>-12.982082703444441</c:v>
                </c:pt>
                <c:pt idx="118">
                  <c:v>-12.918842478662768</c:v>
                </c:pt>
                <c:pt idx="119">
                  <c:v>-12.854757660277038</c:v>
                </c:pt>
                <c:pt idx="120">
                  <c:v>-12.789844746524757</c:v>
                </c:pt>
                <c:pt idx="121">
                  <c:v>-12.724120031559547</c:v>
                </c:pt>
                <c:pt idx="122">
                  <c:v>-12.657599606248581</c:v>
                </c:pt>
                <c:pt idx="123">
                  <c:v>-12.590299359037957</c:v>
                </c:pt>
                <c:pt idx="124">
                  <c:v>-12.522234976882318</c:v>
                </c:pt>
                <c:pt idx="125">
                  <c:v>-12.453421946235053</c:v>
                </c:pt>
                <c:pt idx="126">
                  <c:v>-12.383875554095715</c:v>
                </c:pt>
                <c:pt idx="127">
                  <c:v>-12.313610889111382</c:v>
                </c:pt>
                <c:pt idx="128">
                  <c:v>-12.242642842728738</c:v>
                </c:pt>
                <c:pt idx="129">
                  <c:v>-12.170986110393848</c:v>
                </c:pt>
                <c:pt idx="130">
                  <c:v>-12.098655192796759</c:v>
                </c:pt>
                <c:pt idx="131">
                  <c:v>-12.025664397158033</c:v>
                </c:pt>
                <c:pt idx="132">
                  <c:v>-11.952027838554683</c:v>
                </c:pt>
                <c:pt idx="133">
                  <c:v>-11.877759441282681</c:v>
                </c:pt>
                <c:pt idx="134">
                  <c:v>-11.802872940253881</c:v>
                </c:pt>
                <c:pt idx="135">
                  <c:v>-11.727381882424684</c:v>
                </c:pt>
                <c:pt idx="136">
                  <c:v>-11.651299628254392</c:v>
                </c:pt>
                <c:pt idx="137">
                  <c:v>-11.574639353190985</c:v>
                </c:pt>
                <c:pt idx="138">
                  <c:v>-11.497414049182163</c:v>
                </c:pt>
                <c:pt idx="139">
                  <c:v>-11.419636526209825</c:v>
                </c:pt>
                <c:pt idx="140">
                  <c:v>-11.341319413845897</c:v>
                </c:pt>
                <c:pt idx="141">
                  <c:v>-11.262475162827785</c:v>
                </c:pt>
                <c:pt idx="142">
                  <c:v>-11.183116046651612</c:v>
                </c:pt>
                <c:pt idx="143">
                  <c:v>-11.103254163181674</c:v>
                </c:pt>
                <c:pt idx="144">
                  <c:v>-11.022901436274365</c:v>
                </c:pt>
                <c:pt idx="145">
                  <c:v>-10.942069617415168</c:v>
                </c:pt>
                <c:pt idx="146">
                  <c:v>-10.860770287367107</c:v>
                </c:pt>
                <c:pt idx="147">
                  <c:v>-10.779014857829392</c:v>
                </c:pt>
                <c:pt idx="148">
                  <c:v>-10.69681457310484</c:v>
                </c:pt>
                <c:pt idx="149">
                  <c:v>-10.614180511774716</c:v>
                </c:pt>
                <c:pt idx="150">
                  <c:v>-10.531123588379987</c:v>
                </c:pt>
                <c:pt idx="151">
                  <c:v>-10.447654555107569</c:v>
                </c:pt>
                <c:pt idx="152">
                  <c:v>-10.363784003480625</c:v>
                </c:pt>
                <c:pt idx="153">
                  <c:v>-10.279522366051783</c:v>
                </c:pt>
                <c:pt idx="154">
                  <c:v>-10.194879918098273</c:v>
                </c:pt>
                <c:pt idx="155">
                  <c:v>-10.109866779318018</c:v>
                </c:pt>
                <c:pt idx="156">
                  <c:v>-10.024492915525755</c:v>
                </c:pt>
                <c:pt idx="157">
                  <c:v>-9.9387681403483263</c:v>
                </c:pt>
                <c:pt idx="158">
                  <c:v>-9.8527021169182873</c:v>
                </c:pt>
                <c:pt idx="159">
                  <c:v>-9.7663043595650674</c:v>
                </c:pt>
                <c:pt idx="160">
                  <c:v>-9.6795842355029009</c:v>
                </c:pt>
                <c:pt idx="161">
                  <c:v>-9.5925509665148567</c:v>
                </c:pt>
              </c:numCache>
            </c:numRef>
          </c:val>
          <c:smooth val="0"/>
          <c:extLst>
            <c:ext xmlns:c16="http://schemas.microsoft.com/office/drawing/2014/chart" uri="{C3380CC4-5D6E-409C-BE32-E72D297353CC}">
              <c16:uniqueId val="{00000002-A4C5-462D-91B5-83687E944E57}"/>
            </c:ext>
          </c:extLst>
        </c:ser>
        <c:dLbls>
          <c:showLegendKey val="0"/>
          <c:showVal val="0"/>
          <c:showCatName val="0"/>
          <c:showSerName val="0"/>
          <c:showPercent val="0"/>
          <c:showBubbleSize val="0"/>
        </c:dLbls>
        <c:smooth val="0"/>
        <c:axId val="1601068143"/>
        <c:axId val="1601071983"/>
      </c:lineChart>
      <c:catAx>
        <c:axId val="1601068143"/>
        <c:scaling>
          <c:orientation val="minMax"/>
        </c:scaling>
        <c:delete val="0"/>
        <c:axPos val="b"/>
        <c:title>
          <c:tx>
            <c:rich>
              <a:bodyPr/>
              <a:lstStyle/>
              <a:p>
                <a:pPr>
                  <a:defRPr/>
                </a:pPr>
                <a:r>
                  <a:rPr lang="en-US"/>
                  <a:t>Stock Price</a:t>
                </a:r>
              </a:p>
            </c:rich>
          </c:tx>
          <c:overlay val="0"/>
        </c:title>
        <c:numFmt formatCode="General" sourceLinked="1"/>
        <c:majorTickMark val="out"/>
        <c:minorTickMark val="none"/>
        <c:tickLblPos val="nextTo"/>
        <c:crossAx val="1601071983"/>
        <c:crosses val="autoZero"/>
        <c:auto val="1"/>
        <c:lblAlgn val="ctr"/>
        <c:lblOffset val="100"/>
        <c:noMultiLvlLbl val="0"/>
      </c:catAx>
      <c:valAx>
        <c:axId val="1601071983"/>
        <c:scaling>
          <c:orientation val="minMax"/>
        </c:scaling>
        <c:delete val="0"/>
        <c:axPos val="l"/>
        <c:majorGridlines/>
        <c:title>
          <c:tx>
            <c:rich>
              <a:bodyPr/>
              <a:lstStyle/>
              <a:p>
                <a:pPr>
                  <a:defRPr/>
                </a:pPr>
                <a:r>
                  <a:rPr lang="en-US"/>
                  <a:t>Theta</a:t>
                </a:r>
              </a:p>
            </c:rich>
          </c:tx>
          <c:overlay val="0"/>
        </c:title>
        <c:numFmt formatCode="#,##0.0000;\(#,##0.0000\)" sourceLinked="1"/>
        <c:majorTickMark val="out"/>
        <c:minorTickMark val="none"/>
        <c:tickLblPos val="nextTo"/>
        <c:crossAx val="16010681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Option Rhos</a:t>
            </a:r>
          </a:p>
        </c:rich>
      </c:tx>
      <c:overlay val="0"/>
    </c:title>
    <c:autoTitleDeleted val="0"/>
    <c:plotArea>
      <c:layout/>
      <c:lineChart>
        <c:grouping val="standard"/>
        <c:varyColors val="0"/>
        <c:ser>
          <c:idx val="0"/>
          <c:order val="0"/>
          <c:tx>
            <c:v>Call Rho</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Model'!$K$13:$K$174</c:f>
              <c:numCache>
                <c:formatCode>0.000%;\(0.000%\)</c:formatCode>
                <c:ptCount val="162"/>
                <c:pt idx="0">
                  <c:v>0.52638535544869847</c:v>
                </c:pt>
                <c:pt idx="1">
                  <c:v>0.527796845792595</c:v>
                </c:pt>
                <c:pt idx="2">
                  <c:v>0.52911240726023168</c:v>
                </c:pt>
                <c:pt idx="3">
                  <c:v>0.53033396964782231</c:v>
                </c:pt>
                <c:pt idx="4">
                  <c:v>0.53146344956445379</c:v>
                </c:pt>
                <c:pt idx="5">
                  <c:v>0.53250274915666762</c:v>
                </c:pt>
                <c:pt idx="6">
                  <c:v>0.53345375493751723</c:v>
                </c:pt>
                <c:pt idx="7">
                  <c:v>0.5343183367143558</c:v>
                </c:pt>
                <c:pt idx="8">
                  <c:v>0.53509834660985778</c:v>
                </c:pt>
                <c:pt idx="9">
                  <c:v>0.53579561817102506</c:v>
                </c:pt>
                <c:pt idx="10">
                  <c:v>0.53641196556116544</c:v>
                </c:pt>
                <c:pt idx="11">
                  <c:v>0.53694918283005588</c:v>
                </c:pt>
                <c:pt idx="12">
                  <c:v>0.53740904325773775</c:v>
                </c:pt>
                <c:pt idx="13">
                  <c:v>0.53779329876759563</c:v>
                </c:pt>
                <c:pt idx="14">
                  <c:v>0.53810367940459192</c:v>
                </c:pt>
                <c:pt idx="15">
                  <c:v>0.53834189287471879</c:v>
                </c:pt>
                <c:pt idx="16">
                  <c:v>0.53850962414193593</c:v>
                </c:pt>
                <c:pt idx="17">
                  <c:v>0.53860853507903816</c:v>
                </c:pt>
                <c:pt idx="18">
                  <c:v>0.53864026416908273</c:v>
                </c:pt>
                <c:pt idx="19">
                  <c:v>0.53860642625417732</c:v>
                </c:pt>
                <c:pt idx="20">
                  <c:v>0.53850861232858893</c:v>
                </c:pt>
                <c:pt idx="21">
                  <c:v>0.53834838937330443</c:v>
                </c:pt>
                <c:pt idx="22">
                  <c:v>0.5381273002293061</c:v>
                </c:pt>
                <c:pt idx="23">
                  <c:v>0.53784686350698718</c:v>
                </c:pt>
                <c:pt idx="24">
                  <c:v>0.53750857352926051</c:v>
                </c:pt>
                <c:pt idx="25">
                  <c:v>0.53711390030604544</c:v>
                </c:pt>
                <c:pt idx="26">
                  <c:v>0.53666428953794865</c:v>
                </c:pt>
                <c:pt idx="27">
                  <c:v>0.53616116264706759</c:v>
                </c:pt>
                <c:pt idx="28">
                  <c:v>0.53560591683296377</c:v>
                </c:pt>
                <c:pt idx="29">
                  <c:v>0.5349999251519596</c:v>
                </c:pt>
                <c:pt idx="30">
                  <c:v>0.53434453661801673</c:v>
                </c:pt>
                <c:pt idx="31">
                  <c:v>0.5336410763235494</c:v>
                </c:pt>
                <c:pt idx="32">
                  <c:v>0.5328908455786231</c:v>
                </c:pt>
                <c:pt idx="33">
                  <c:v>0.53209512206707577</c:v>
                </c:pt>
                <c:pt idx="34">
                  <c:v>0.5312551600181814</c:v>
                </c:pt>
                <c:pt idx="35">
                  <c:v>0.53037219039256001</c:v>
                </c:pt>
                <c:pt idx="36">
                  <c:v>0.52944742108110743</c:v>
                </c:pt>
                <c:pt idx="37">
                  <c:v>0.52848203711579878</c:v>
                </c:pt>
                <c:pt idx="38">
                  <c:v>0.52747720089127936</c:v>
                </c:pt>
                <c:pt idx="39">
                  <c:v>0.52643405239622698</c:v>
                </c:pt>
                <c:pt idx="40">
                  <c:v>0.52535370945352844</c:v>
                </c:pt>
                <c:pt idx="41">
                  <c:v>0.52423726796837355</c:v>
                </c:pt>
                <c:pt idx="42">
                  <c:v>0.52308580218342082</c:v>
                </c:pt>
                <c:pt idx="43">
                  <c:v>0.52190036494024517</c:v>
                </c:pt>
                <c:pt idx="44">
                  <c:v>0.52068198794632725</c:v>
                </c:pt>
                <c:pt idx="45">
                  <c:v>0.51943168204688583</c:v>
                </c:pt>
                <c:pt idx="46">
                  <c:v>0.51815043750090595</c:v>
                </c:pt>
                <c:pt idx="47">
                  <c:v>0.51683922426075113</c:v>
                </c:pt>
                <c:pt idx="48">
                  <c:v>0.51549899225479079</c:v>
                </c:pt>
                <c:pt idx="49">
                  <c:v>0.51413067167251258</c:v>
                </c:pt>
                <c:pt idx="50">
                  <c:v>0.51273517325161833</c:v>
                </c:pt>
                <c:pt idx="51">
                  <c:v>0.51131338856664388</c:v>
                </c:pt>
                <c:pt idx="52">
                  <c:v>0.5098661903186702</c:v>
                </c:pt>
                <c:pt idx="53">
                  <c:v>0.50839443262571971</c:v>
                </c:pt>
                <c:pt idx="54">
                  <c:v>0.50689895131346885</c:v>
                </c:pt>
                <c:pt idx="55">
                  <c:v>0.50538056420592403</c:v>
                </c:pt>
                <c:pt idx="56">
                  <c:v>0.50384007141574227</c:v>
                </c:pt>
                <c:pt idx="57">
                  <c:v>0.50227825563389317</c:v>
                </c:pt>
                <c:pt idx="58">
                  <c:v>0.50069588241838769</c:v>
                </c:pt>
                <c:pt idx="59">
                  <c:v>0.49909370048181795</c:v>
                </c:pt>
                <c:pt idx="60">
                  <c:v>0.49747244197746787</c:v>
                </c:pt>
                <c:pt idx="61">
                  <c:v>0.49583282278378121</c:v>
                </c:pt>
                <c:pt idx="62">
                  <c:v>0.49417554278698356</c:v>
                </c:pt>
                <c:pt idx="63">
                  <c:v>0.49250128616167466</c:v>
                </c:pt>
                <c:pt idx="64">
                  <c:v>0.49081072164922374</c:v>
                </c:pt>
                <c:pt idx="65">
                  <c:v>0.48910450283381324</c:v>
                </c:pt>
                <c:pt idx="66">
                  <c:v>0.48738326841598872</c:v>
                </c:pt>
                <c:pt idx="67">
                  <c:v>0.4856476424835916</c:v>
                </c:pt>
                <c:pt idx="68">
                  <c:v>0.48389823477995536</c:v>
                </c:pt>
                <c:pt idx="69">
                  <c:v>0.48213564096926242</c:v>
                </c:pt>
                <c:pt idx="70">
                  <c:v>0.48036044289897084</c:v>
                </c:pt>
                <c:pt idx="71">
                  <c:v>0.478573208859223</c:v>
                </c:pt>
                <c:pt idx="72">
                  <c:v>0.4767744938391652</c:v>
                </c:pt>
                <c:pt idx="73">
                  <c:v>0.47496483978011228</c:v>
                </c:pt>
                <c:pt idx="74">
                  <c:v>0.47314477582550141</c:v>
                </c:pt>
                <c:pt idx="75">
                  <c:v>0.47131481856758106</c:v>
                </c:pt>
                <c:pt idx="76">
                  <c:v>0.46947547229079972</c:v>
                </c:pt>
                <c:pt idx="77">
                  <c:v>0.46762722921185373</c:v>
                </c:pt>
                <c:pt idx="78">
                  <c:v>0.46577056971636616</c:v>
                </c:pt>
                <c:pt idx="79">
                  <c:v>0.46390596259217626</c:v>
                </c:pt>
                <c:pt idx="80">
                  <c:v>0.46203386525921675</c:v>
                </c:pt>
                <c:pt idx="81">
                  <c:v>0.46015472399597024</c:v>
                </c:pt>
                <c:pt idx="82">
                  <c:v>0.45826897416249507</c:v>
                </c:pt>
                <c:pt idx="83">
                  <c:v>0.45637704042001653</c:v>
                </c:pt>
                <c:pt idx="84">
                  <c:v>0.4544793369470847</c:v>
                </c:pt>
                <c:pt idx="85">
                  <c:v>0.45257626765230363</c:v>
                </c:pt>
                <c:pt idx="86">
                  <c:v>0.45066822638363752</c:v>
                </c:pt>
                <c:pt idx="87">
                  <c:v>0.44875559713430785</c:v>
                </c:pt>
                <c:pt idx="88">
                  <c:v>0.44683875424529235</c:v>
                </c:pt>
                <c:pt idx="89">
                  <c:v>0.444918062604446</c:v>
                </c:pt>
                <c:pt idx="90">
                  <c:v>0.4429938778422598</c:v>
                </c:pt>
                <c:pt idx="91">
                  <c:v>0.44106654652428245</c:v>
                </c:pt>
                <c:pt idx="92">
                  <c:v>0.43913640634022699</c:v>
                </c:pt>
                <c:pt idx="93">
                  <c:v>0.43720378628978679</c:v>
                </c:pt>
                <c:pt idx="94">
                  <c:v>0.43526900686519376</c:v>
                </c:pt>
                <c:pt idx="95">
                  <c:v>0.43333238023054188</c:v>
                </c:pt>
                <c:pt idx="96">
                  <c:v>0.43139421039790982</c:v>
                </c:pt>
                <c:pt idx="97">
                  <c:v>0.42945479340031689</c:v>
                </c:pt>
                <c:pt idx="98">
                  <c:v>0.42751441746154151</c:v>
                </c:pt>
                <c:pt idx="99">
                  <c:v>0.42557336316283867</c:v>
                </c:pt>
                <c:pt idx="100">
                  <c:v>0.42363190360659331</c:v>
                </c:pt>
                <c:pt idx="101">
                  <c:v>0.42169030457694356</c:v>
                </c:pt>
                <c:pt idx="102">
                  <c:v>0.41974882469741176</c:v>
                </c:pt>
                <c:pt idx="103">
                  <c:v>0.417807715585582</c:v>
                </c:pt>
                <c:pt idx="104">
                  <c:v>0.41586722200486109</c:v>
                </c:pt>
                <c:pt idx="105">
                  <c:v>0.41392758201336255</c:v>
                </c:pt>
                <c:pt idx="106">
                  <c:v>0.41198902710995294</c:v>
                </c:pt>
                <c:pt idx="107">
                  <c:v>0.41005178237750017</c:v>
                </c:pt>
                <c:pt idx="108">
                  <c:v>0.40811606662336308</c:v>
                </c:pt>
                <c:pt idx="109">
                  <c:v>0.40618209251716331</c:v>
                </c:pt>
                <c:pt idx="110">
                  <c:v>0.40425006672587821</c:v>
                </c:pt>
                <c:pt idx="111">
                  <c:v>0.40232019004629749</c:v>
                </c:pt>
                <c:pt idx="112">
                  <c:v>0.40039265753488174</c:v>
                </c:pt>
                <c:pt idx="113">
                  <c:v>0.39846765863506411</c:v>
                </c:pt>
                <c:pt idx="114">
                  <c:v>0.39654537730203521</c:v>
                </c:pt>
                <c:pt idx="115">
                  <c:v>0.39462599212505289</c:v>
                </c:pt>
                <c:pt idx="116">
                  <c:v>0.39270967644731408</c:v>
                </c:pt>
                <c:pt idx="117">
                  <c:v>0.39079659848343201</c:v>
                </c:pt>
                <c:pt idx="118">
                  <c:v>0.38888692143455478</c:v>
                </c:pt>
                <c:pt idx="119">
                  <c:v>0.38698080360116932</c:v>
                </c:pt>
                <c:pt idx="120">
                  <c:v>0.38507839849362641</c:v>
                </c:pt>
                <c:pt idx="121">
                  <c:v>0.38317985494042561</c:v>
                </c:pt>
                <c:pt idx="122">
                  <c:v>0.38128531719430309</c:v>
                </c:pt>
                <c:pt idx="123">
                  <c:v>0.37939492503615441</c:v>
                </c:pt>
                <c:pt idx="124">
                  <c:v>0.37750881387683649</c:v>
                </c:pt>
                <c:pt idx="125">
                  <c:v>0.3756271148568805</c:v>
                </c:pt>
                <c:pt idx="126">
                  <c:v>0.37374995494415858</c:v>
                </c:pt>
                <c:pt idx="127">
                  <c:v>0.37187745702953651</c:v>
                </c:pt>
                <c:pt idx="128">
                  <c:v>0.37000974002055281</c:v>
                </c:pt>
                <c:pt idx="129">
                  <c:v>0.36814691893315593</c:v>
                </c:pt>
                <c:pt idx="130">
                  <c:v>0.36628910498153927</c:v>
                </c:pt>
                <c:pt idx="131">
                  <c:v>0.36443640566610824</c:v>
                </c:pt>
                <c:pt idx="132">
                  <c:v>0.36258892485961125</c:v>
                </c:pt>
                <c:pt idx="133">
                  <c:v>0.36074676289147178</c:v>
                </c:pt>
                <c:pt idx="134">
                  <c:v>0.35891001663035632</c:v>
                </c:pt>
                <c:pt idx="135">
                  <c:v>0.35707877956500744</c:v>
                </c:pt>
                <c:pt idx="136">
                  <c:v>0.35525314188337848</c:v>
                </c:pt>
                <c:pt idx="137">
                  <c:v>0.35343319055010208</c:v>
                </c:pt>
                <c:pt idx="138">
                  <c:v>0.35161900938232221</c:v>
                </c:pt>
                <c:pt idx="139">
                  <c:v>0.34981067912392261</c:v>
                </c:pt>
                <c:pt idx="140">
                  <c:v>0.34800827751818353</c:v>
                </c:pt>
                <c:pt idx="141">
                  <c:v>0.34621187937889664</c:v>
                </c:pt>
                <c:pt idx="142">
                  <c:v>0.34442155665996554</c:v>
                </c:pt>
                <c:pt idx="143">
                  <c:v>0.34263737852352821</c:v>
                </c:pt>
                <c:pt idx="144">
                  <c:v>0.34085941140662163</c:v>
                </c:pt>
                <c:pt idx="145">
                  <c:v>0.3390877190864256</c:v>
                </c:pt>
                <c:pt idx="146">
                  <c:v>0.33732236274410687</c:v>
                </c:pt>
                <c:pt idx="147">
                  <c:v>0.33556340102729837</c:v>
                </c:pt>
                <c:pt idx="148">
                  <c:v>0.33381089011123327</c:v>
                </c:pt>
                <c:pt idx="149">
                  <c:v>0.33206488375856713</c:v>
                </c:pt>
                <c:pt idx="150">
                  <c:v>0.33032543337790998</c:v>
                </c:pt>
                <c:pt idx="151">
                  <c:v>0.32859258808109798</c:v>
                </c:pt>
                <c:pt idx="152">
                  <c:v>0.32686639473922591</c:v>
                </c:pt>
                <c:pt idx="153">
                  <c:v>0.32514689803746932</c:v>
                </c:pt>
                <c:pt idx="154">
                  <c:v>0.32343414052871844</c:v>
                </c:pt>
                <c:pt idx="155">
                  <c:v>0.32172816268604998</c:v>
                </c:pt>
                <c:pt idx="156">
                  <c:v>0.32002900295405712</c:v>
                </c:pt>
                <c:pt idx="157">
                  <c:v>0.31833669779906504</c:v>
                </c:pt>
                <c:pt idx="158">
                  <c:v>0.3166512817582518</c:v>
                </c:pt>
                <c:pt idx="159">
                  <c:v>0.31497278748769952</c:v>
                </c:pt>
                <c:pt idx="160">
                  <c:v>0.31330124580939428</c:v>
                </c:pt>
                <c:pt idx="161">
                  <c:v>0.31163668575719927</c:v>
                </c:pt>
              </c:numCache>
            </c:numRef>
          </c:val>
          <c:smooth val="0"/>
          <c:extLst>
            <c:ext xmlns:c16="http://schemas.microsoft.com/office/drawing/2014/chart" uri="{C3380CC4-5D6E-409C-BE32-E72D297353CC}">
              <c16:uniqueId val="{00000001-B800-4A57-B33A-E48EA65623AE}"/>
            </c:ext>
          </c:extLst>
        </c:ser>
        <c:ser>
          <c:idx val="1"/>
          <c:order val="1"/>
          <c:tx>
            <c:v>Put Rho</c:v>
          </c:tx>
          <c:marker>
            <c:symbol val="none"/>
          </c:marker>
          <c:cat>
            <c:numRef>
              <c:f>'BS Model'!$B$13:$B$174</c:f>
              <c:numCache>
                <c:formatCode>General</c:formatCode>
                <c:ptCount val="162"/>
                <c:pt idx="0">
                  <c:v>82</c:v>
                </c:pt>
                <c:pt idx="1">
                  <c:v>83</c:v>
                </c:pt>
                <c:pt idx="2">
                  <c:v>84</c:v>
                </c:pt>
                <c:pt idx="3">
                  <c:v>85</c:v>
                </c:pt>
                <c:pt idx="4">
                  <c:v>86</c:v>
                </c:pt>
                <c:pt idx="5">
                  <c:v>87</c:v>
                </c:pt>
                <c:pt idx="6">
                  <c:v>88</c:v>
                </c:pt>
                <c:pt idx="7">
                  <c:v>89</c:v>
                </c:pt>
                <c:pt idx="8">
                  <c:v>90</c:v>
                </c:pt>
                <c:pt idx="9">
                  <c:v>91</c:v>
                </c:pt>
                <c:pt idx="10">
                  <c:v>92</c:v>
                </c:pt>
                <c:pt idx="11">
                  <c:v>93</c:v>
                </c:pt>
                <c:pt idx="12">
                  <c:v>94</c:v>
                </c:pt>
                <c:pt idx="13">
                  <c:v>95</c:v>
                </c:pt>
                <c:pt idx="14">
                  <c:v>96</c:v>
                </c:pt>
                <c:pt idx="15">
                  <c:v>97</c:v>
                </c:pt>
                <c:pt idx="16">
                  <c:v>98</c:v>
                </c:pt>
                <c:pt idx="17">
                  <c:v>99</c:v>
                </c:pt>
                <c:pt idx="18">
                  <c:v>100</c:v>
                </c:pt>
                <c:pt idx="19">
                  <c:v>101</c:v>
                </c:pt>
                <c:pt idx="20">
                  <c:v>102</c:v>
                </c:pt>
                <c:pt idx="21">
                  <c:v>103</c:v>
                </c:pt>
                <c:pt idx="22">
                  <c:v>104</c:v>
                </c:pt>
                <c:pt idx="23">
                  <c:v>105</c:v>
                </c:pt>
                <c:pt idx="24">
                  <c:v>106</c:v>
                </c:pt>
                <c:pt idx="25">
                  <c:v>107</c:v>
                </c:pt>
                <c:pt idx="26">
                  <c:v>108</c:v>
                </c:pt>
                <c:pt idx="27">
                  <c:v>109</c:v>
                </c:pt>
                <c:pt idx="28">
                  <c:v>110</c:v>
                </c:pt>
                <c:pt idx="29">
                  <c:v>111</c:v>
                </c:pt>
                <c:pt idx="30">
                  <c:v>112</c:v>
                </c:pt>
                <c:pt idx="31">
                  <c:v>113</c:v>
                </c:pt>
                <c:pt idx="32">
                  <c:v>114</c:v>
                </c:pt>
                <c:pt idx="33">
                  <c:v>115</c:v>
                </c:pt>
                <c:pt idx="34">
                  <c:v>116</c:v>
                </c:pt>
                <c:pt idx="35">
                  <c:v>117</c:v>
                </c:pt>
                <c:pt idx="36">
                  <c:v>118</c:v>
                </c:pt>
                <c:pt idx="37">
                  <c:v>119</c:v>
                </c:pt>
                <c:pt idx="38">
                  <c:v>120</c:v>
                </c:pt>
                <c:pt idx="39">
                  <c:v>121</c:v>
                </c:pt>
                <c:pt idx="40">
                  <c:v>122</c:v>
                </c:pt>
                <c:pt idx="41">
                  <c:v>123</c:v>
                </c:pt>
                <c:pt idx="42">
                  <c:v>124</c:v>
                </c:pt>
                <c:pt idx="43">
                  <c:v>125</c:v>
                </c:pt>
                <c:pt idx="44">
                  <c:v>126</c:v>
                </c:pt>
                <c:pt idx="45">
                  <c:v>127</c:v>
                </c:pt>
                <c:pt idx="46">
                  <c:v>128</c:v>
                </c:pt>
                <c:pt idx="47">
                  <c:v>129</c:v>
                </c:pt>
                <c:pt idx="48">
                  <c:v>130</c:v>
                </c:pt>
                <c:pt idx="49">
                  <c:v>131</c:v>
                </c:pt>
                <c:pt idx="50">
                  <c:v>132</c:v>
                </c:pt>
                <c:pt idx="51">
                  <c:v>133</c:v>
                </c:pt>
                <c:pt idx="52">
                  <c:v>134</c:v>
                </c:pt>
                <c:pt idx="53">
                  <c:v>135</c:v>
                </c:pt>
                <c:pt idx="54">
                  <c:v>136</c:v>
                </c:pt>
                <c:pt idx="55">
                  <c:v>137</c:v>
                </c:pt>
                <c:pt idx="56">
                  <c:v>138</c:v>
                </c:pt>
                <c:pt idx="57">
                  <c:v>139</c:v>
                </c:pt>
                <c:pt idx="58">
                  <c:v>140</c:v>
                </c:pt>
                <c:pt idx="59">
                  <c:v>141</c:v>
                </c:pt>
                <c:pt idx="60">
                  <c:v>142</c:v>
                </c:pt>
                <c:pt idx="61">
                  <c:v>143</c:v>
                </c:pt>
                <c:pt idx="62">
                  <c:v>144</c:v>
                </c:pt>
                <c:pt idx="63">
                  <c:v>145</c:v>
                </c:pt>
                <c:pt idx="64">
                  <c:v>146</c:v>
                </c:pt>
                <c:pt idx="65">
                  <c:v>147</c:v>
                </c:pt>
                <c:pt idx="66">
                  <c:v>148</c:v>
                </c:pt>
                <c:pt idx="67">
                  <c:v>149</c:v>
                </c:pt>
                <c:pt idx="68">
                  <c:v>150</c:v>
                </c:pt>
                <c:pt idx="69">
                  <c:v>151</c:v>
                </c:pt>
                <c:pt idx="70">
                  <c:v>152</c:v>
                </c:pt>
                <c:pt idx="71">
                  <c:v>153</c:v>
                </c:pt>
                <c:pt idx="72">
                  <c:v>154</c:v>
                </c:pt>
                <c:pt idx="73">
                  <c:v>155</c:v>
                </c:pt>
                <c:pt idx="74">
                  <c:v>156</c:v>
                </c:pt>
                <c:pt idx="75">
                  <c:v>157</c:v>
                </c:pt>
                <c:pt idx="76">
                  <c:v>158</c:v>
                </c:pt>
                <c:pt idx="77">
                  <c:v>159</c:v>
                </c:pt>
                <c:pt idx="78">
                  <c:v>160</c:v>
                </c:pt>
                <c:pt idx="79">
                  <c:v>161</c:v>
                </c:pt>
                <c:pt idx="80">
                  <c:v>162</c:v>
                </c:pt>
                <c:pt idx="81">
                  <c:v>163</c:v>
                </c:pt>
                <c:pt idx="82">
                  <c:v>164</c:v>
                </c:pt>
                <c:pt idx="83">
                  <c:v>165</c:v>
                </c:pt>
                <c:pt idx="84">
                  <c:v>166</c:v>
                </c:pt>
                <c:pt idx="85">
                  <c:v>167</c:v>
                </c:pt>
                <c:pt idx="86">
                  <c:v>168</c:v>
                </c:pt>
                <c:pt idx="87">
                  <c:v>169</c:v>
                </c:pt>
                <c:pt idx="88">
                  <c:v>170</c:v>
                </c:pt>
                <c:pt idx="89">
                  <c:v>171</c:v>
                </c:pt>
                <c:pt idx="90">
                  <c:v>172</c:v>
                </c:pt>
                <c:pt idx="91">
                  <c:v>173</c:v>
                </c:pt>
                <c:pt idx="92">
                  <c:v>174</c:v>
                </c:pt>
                <c:pt idx="93">
                  <c:v>175</c:v>
                </c:pt>
                <c:pt idx="94">
                  <c:v>176</c:v>
                </c:pt>
                <c:pt idx="95">
                  <c:v>177</c:v>
                </c:pt>
                <c:pt idx="96">
                  <c:v>178</c:v>
                </c:pt>
                <c:pt idx="97">
                  <c:v>179</c:v>
                </c:pt>
                <c:pt idx="98">
                  <c:v>180</c:v>
                </c:pt>
                <c:pt idx="99">
                  <c:v>181</c:v>
                </c:pt>
                <c:pt idx="100">
                  <c:v>182</c:v>
                </c:pt>
                <c:pt idx="101">
                  <c:v>183</c:v>
                </c:pt>
                <c:pt idx="102">
                  <c:v>184</c:v>
                </c:pt>
                <c:pt idx="103">
                  <c:v>185</c:v>
                </c:pt>
                <c:pt idx="104">
                  <c:v>186</c:v>
                </c:pt>
                <c:pt idx="105">
                  <c:v>187</c:v>
                </c:pt>
                <c:pt idx="106">
                  <c:v>188</c:v>
                </c:pt>
                <c:pt idx="107">
                  <c:v>189</c:v>
                </c:pt>
                <c:pt idx="108">
                  <c:v>190</c:v>
                </c:pt>
                <c:pt idx="109">
                  <c:v>191</c:v>
                </c:pt>
                <c:pt idx="110">
                  <c:v>192</c:v>
                </c:pt>
                <c:pt idx="111">
                  <c:v>193</c:v>
                </c:pt>
                <c:pt idx="112">
                  <c:v>194</c:v>
                </c:pt>
                <c:pt idx="113">
                  <c:v>195</c:v>
                </c:pt>
                <c:pt idx="114">
                  <c:v>196</c:v>
                </c:pt>
                <c:pt idx="115">
                  <c:v>197</c:v>
                </c:pt>
                <c:pt idx="116">
                  <c:v>198</c:v>
                </c:pt>
                <c:pt idx="117">
                  <c:v>199</c:v>
                </c:pt>
                <c:pt idx="118">
                  <c:v>200</c:v>
                </c:pt>
                <c:pt idx="119">
                  <c:v>201</c:v>
                </c:pt>
                <c:pt idx="120">
                  <c:v>202</c:v>
                </c:pt>
                <c:pt idx="121">
                  <c:v>203</c:v>
                </c:pt>
                <c:pt idx="122">
                  <c:v>204</c:v>
                </c:pt>
                <c:pt idx="123">
                  <c:v>205</c:v>
                </c:pt>
                <c:pt idx="124">
                  <c:v>206</c:v>
                </c:pt>
                <c:pt idx="125">
                  <c:v>207</c:v>
                </c:pt>
                <c:pt idx="126">
                  <c:v>208</c:v>
                </c:pt>
                <c:pt idx="127">
                  <c:v>209</c:v>
                </c:pt>
                <c:pt idx="128">
                  <c:v>210</c:v>
                </c:pt>
                <c:pt idx="129">
                  <c:v>211</c:v>
                </c:pt>
                <c:pt idx="130">
                  <c:v>212</c:v>
                </c:pt>
                <c:pt idx="131">
                  <c:v>213</c:v>
                </c:pt>
                <c:pt idx="132">
                  <c:v>214</c:v>
                </c:pt>
                <c:pt idx="133">
                  <c:v>215</c:v>
                </c:pt>
                <c:pt idx="134">
                  <c:v>216</c:v>
                </c:pt>
                <c:pt idx="135">
                  <c:v>217</c:v>
                </c:pt>
                <c:pt idx="136">
                  <c:v>218</c:v>
                </c:pt>
                <c:pt idx="137">
                  <c:v>219</c:v>
                </c:pt>
                <c:pt idx="138">
                  <c:v>220</c:v>
                </c:pt>
                <c:pt idx="139">
                  <c:v>221</c:v>
                </c:pt>
                <c:pt idx="140">
                  <c:v>222</c:v>
                </c:pt>
                <c:pt idx="141">
                  <c:v>223</c:v>
                </c:pt>
                <c:pt idx="142">
                  <c:v>224</c:v>
                </c:pt>
                <c:pt idx="143">
                  <c:v>225</c:v>
                </c:pt>
                <c:pt idx="144">
                  <c:v>226</c:v>
                </c:pt>
                <c:pt idx="145">
                  <c:v>227</c:v>
                </c:pt>
                <c:pt idx="146">
                  <c:v>228</c:v>
                </c:pt>
                <c:pt idx="147">
                  <c:v>229</c:v>
                </c:pt>
                <c:pt idx="148">
                  <c:v>230</c:v>
                </c:pt>
                <c:pt idx="149">
                  <c:v>231</c:v>
                </c:pt>
                <c:pt idx="150">
                  <c:v>232</c:v>
                </c:pt>
                <c:pt idx="151">
                  <c:v>233</c:v>
                </c:pt>
                <c:pt idx="152">
                  <c:v>234</c:v>
                </c:pt>
                <c:pt idx="153">
                  <c:v>235</c:v>
                </c:pt>
                <c:pt idx="154">
                  <c:v>236</c:v>
                </c:pt>
                <c:pt idx="155">
                  <c:v>237</c:v>
                </c:pt>
                <c:pt idx="156">
                  <c:v>238</c:v>
                </c:pt>
                <c:pt idx="157">
                  <c:v>239</c:v>
                </c:pt>
                <c:pt idx="158">
                  <c:v>240</c:v>
                </c:pt>
                <c:pt idx="159">
                  <c:v>241</c:v>
                </c:pt>
                <c:pt idx="160">
                  <c:v>242</c:v>
                </c:pt>
                <c:pt idx="161">
                  <c:v>243</c:v>
                </c:pt>
              </c:numCache>
            </c:numRef>
          </c:cat>
          <c:val>
            <c:numRef>
              <c:f>'BS Model'!$L$13:$L$174</c:f>
              <c:numCache>
                <c:formatCode>0.000%;\(0.000%\)</c:formatCode>
                <c:ptCount val="162"/>
                <c:pt idx="0">
                  <c:v>-0.26146198465620651</c:v>
                </c:pt>
                <c:pt idx="1">
                  <c:v>-0.26965838870383319</c:v>
                </c:pt>
                <c:pt idx="2">
                  <c:v>-0.27795072162771989</c:v>
                </c:pt>
                <c:pt idx="3">
                  <c:v>-0.28633705363165246</c:v>
                </c:pt>
                <c:pt idx="4">
                  <c:v>-0.29481546810654424</c:v>
                </c:pt>
                <c:pt idx="5">
                  <c:v>-0.30338406290585368</c:v>
                </c:pt>
                <c:pt idx="6">
                  <c:v>-0.31204095151652717</c:v>
                </c:pt>
                <c:pt idx="7">
                  <c:v>-0.32078426413121186</c:v>
                </c:pt>
                <c:pt idx="8">
                  <c:v>-0.32961214862723315</c:v>
                </c:pt>
                <c:pt idx="9">
                  <c:v>-0.33852277145758897</c:v>
                </c:pt>
                <c:pt idx="10">
                  <c:v>-0.3475143184589719</c:v>
                </c:pt>
                <c:pt idx="11">
                  <c:v>-0.35658499558160456</c:v>
                </c:pt>
                <c:pt idx="12">
                  <c:v>-0.36573302954544618</c:v>
                </c:pt>
                <c:pt idx="13">
                  <c:v>-0.37495666842711145</c:v>
                </c:pt>
                <c:pt idx="14">
                  <c:v>-0.38425418218163843</c:v>
                </c:pt>
                <c:pt idx="15">
                  <c:v>-0.39362386310303488</c:v>
                </c:pt>
                <c:pt idx="16">
                  <c:v>-0.40306402622734083</c:v>
                </c:pt>
                <c:pt idx="17">
                  <c:v>-0.4125730096817618</c:v>
                </c:pt>
                <c:pt idx="18">
                  <c:v>-0.42214917498324034</c:v>
                </c:pt>
                <c:pt idx="19">
                  <c:v>-0.43179090728966912</c:v>
                </c:pt>
                <c:pt idx="20">
                  <c:v>-0.44149661560678072</c:v>
                </c:pt>
                <c:pt idx="21">
                  <c:v>-0.45126473295358843</c:v>
                </c:pt>
                <c:pt idx="22">
                  <c:v>-0.46109371648911018</c:v>
                </c:pt>
                <c:pt idx="23">
                  <c:v>-0.47098204760295209</c:v>
                </c:pt>
                <c:pt idx="24">
                  <c:v>-0.48092823197220214</c:v>
                </c:pt>
                <c:pt idx="25">
                  <c:v>-0.49093079958694041</c:v>
                </c:pt>
                <c:pt idx="26">
                  <c:v>-0.50098830474656042</c:v>
                </c:pt>
                <c:pt idx="27">
                  <c:v>-0.51109932602896468</c:v>
                </c:pt>
                <c:pt idx="28">
                  <c:v>-0.52126246623459171</c:v>
                </c:pt>
                <c:pt idx="29">
                  <c:v>-0.53147635230711909</c:v>
                </c:pt>
                <c:pt idx="30">
                  <c:v>-0.54173963523258506</c:v>
                </c:pt>
                <c:pt idx="31">
                  <c:v>-0.55205098991857571</c:v>
                </c:pt>
                <c:pt idx="32">
                  <c:v>-0.56240911505502544</c:v>
                </c:pt>
                <c:pt idx="33">
                  <c:v>-0.57281273295809609</c:v>
                </c:pt>
                <c:pt idx="34">
                  <c:v>-0.58326058939851355</c:v>
                </c:pt>
                <c:pt idx="35">
                  <c:v>-0.59375145341565816</c:v>
                </c:pt>
                <c:pt idx="36">
                  <c:v>-0.60428411711863395</c:v>
                </c:pt>
                <c:pt idx="37">
                  <c:v>-0.61485739547546581</c:v>
                </c:pt>
                <c:pt idx="38">
                  <c:v>-0.62547012609150854</c:v>
                </c:pt>
                <c:pt idx="39">
                  <c:v>-0.63612116897808402</c:v>
                </c:pt>
                <c:pt idx="40">
                  <c:v>-0.64680940631230566</c:v>
                </c:pt>
                <c:pt idx="41">
                  <c:v>-0.65753374218898397</c:v>
                </c:pt>
                <c:pt idx="42">
                  <c:v>-0.66829310236546013</c:v>
                </c:pt>
                <c:pt idx="43">
                  <c:v>-0.67908643400015911</c:v>
                </c:pt>
                <c:pt idx="44">
                  <c:v>-0.68991270538560012</c:v>
                </c:pt>
                <c:pt idx="45">
                  <c:v>-0.70077090567656475</c:v>
                </c:pt>
                <c:pt idx="46">
                  <c:v>-0.71166004461406773</c:v>
                </c:pt>
                <c:pt idx="47">
                  <c:v>-0.72257915224574587</c:v>
                </c:pt>
                <c:pt idx="48">
                  <c:v>-0.73352727864322931</c:v>
                </c:pt>
                <c:pt idx="49">
                  <c:v>-0.74450349361703072</c:v>
                </c:pt>
                <c:pt idx="50">
                  <c:v>-0.75550688642944841</c:v>
                </c:pt>
                <c:pt idx="51">
                  <c:v>-0.76653656550594595</c:v>
                </c:pt>
                <c:pt idx="52">
                  <c:v>-0.77759165814544295</c:v>
                </c:pt>
                <c:pt idx="53">
                  <c:v>-0.78867131022991643</c:v>
                </c:pt>
                <c:pt idx="54">
                  <c:v>-0.79977468593369072</c:v>
                </c:pt>
                <c:pt idx="55">
                  <c:v>-0.81090096743275863</c:v>
                </c:pt>
                <c:pt idx="56">
                  <c:v>-0.82204935461446371</c:v>
                </c:pt>
                <c:pt idx="57">
                  <c:v>-0.83321906478783614</c:v>
                </c:pt>
                <c:pt idx="58">
                  <c:v>-0.84440933239486471</c:v>
                </c:pt>
                <c:pt idx="59">
                  <c:v>-0.85561940872295783</c:v>
                </c:pt>
                <c:pt idx="60">
                  <c:v>-0.86684856161883106</c:v>
                </c:pt>
                <c:pt idx="61">
                  <c:v>-0.87809607520404098</c:v>
                </c:pt>
                <c:pt idx="62">
                  <c:v>-0.88936124959236174</c:v>
                </c:pt>
                <c:pt idx="63">
                  <c:v>-0.90064340060919412</c:v>
                </c:pt>
                <c:pt idx="64">
                  <c:v>-0.91194185951316797</c:v>
                </c:pt>
                <c:pt idx="65">
                  <c:v>-0.92325597272010185</c:v>
                </c:pt>
                <c:pt idx="66">
                  <c:v>-0.93458510152944974</c:v>
                </c:pt>
                <c:pt idx="67">
                  <c:v>-0.9459286218533699</c:v>
                </c:pt>
                <c:pt idx="68">
                  <c:v>-0.95728592394852952</c:v>
                </c:pt>
                <c:pt idx="69">
                  <c:v>-0.96865641215074549</c:v>
                </c:pt>
                <c:pt idx="70">
                  <c:v>-0.9800395046125604</c:v>
                </c:pt>
                <c:pt idx="71">
                  <c:v>-0.99143463304383139</c:v>
                </c:pt>
                <c:pt idx="72">
                  <c:v>-1.0028412424554125</c:v>
                </c:pt>
                <c:pt idx="73">
                  <c:v>-1.0142587909059884</c:v>
                </c:pt>
                <c:pt idx="74">
                  <c:v>-1.0256867492521229</c:v>
                </c:pt>
                <c:pt idx="75">
                  <c:v>-1.0371246009015662</c:v>
                </c:pt>
                <c:pt idx="76">
                  <c:v>-1.0485718415698708</c:v>
                </c:pt>
                <c:pt idx="77">
                  <c:v>-1.0600279790403404</c:v>
                </c:pt>
                <c:pt idx="78">
                  <c:v>-1.071492532927351</c:v>
                </c:pt>
                <c:pt idx="79">
                  <c:v>-1.0829650344430641</c:v>
                </c:pt>
                <c:pt idx="80">
                  <c:v>-1.0944450261675467</c:v>
                </c:pt>
                <c:pt idx="81">
                  <c:v>-1.1059320618223165</c:v>
                </c:pt>
                <c:pt idx="82">
                  <c:v>-1.1174257060473149</c:v>
                </c:pt>
                <c:pt idx="83">
                  <c:v>-1.1289255341813169</c:v>
                </c:pt>
                <c:pt idx="84">
                  <c:v>-1.1404311320457716</c:v>
                </c:pt>
                <c:pt idx="85">
                  <c:v>-1.1519420957320761</c:v>
                </c:pt>
                <c:pt idx="86">
                  <c:v>-1.1634580313922656</c:v>
                </c:pt>
                <c:pt idx="87">
                  <c:v>-1.1749785550331184</c:v>
                </c:pt>
                <c:pt idx="88">
                  <c:v>-1.1865032923136571</c:v>
                </c:pt>
                <c:pt idx="89">
                  <c:v>-1.1980318783460266</c:v>
                </c:pt>
                <c:pt idx="90">
                  <c:v>-1.2095639574997361</c:v>
                </c:pt>
                <c:pt idx="91">
                  <c:v>-1.2210991832092366</c:v>
                </c:pt>
                <c:pt idx="92">
                  <c:v>-1.2326372177848155</c:v>
                </c:pt>
                <c:pt idx="93">
                  <c:v>-1.2441777322267786</c:v>
                </c:pt>
                <c:pt idx="94">
                  <c:v>-1.2557204060428953</c:v>
                </c:pt>
                <c:pt idx="95">
                  <c:v>-1.2672649270690699</c:v>
                </c:pt>
                <c:pt idx="96">
                  <c:v>-1.2788109912932253</c:v>
                </c:pt>
                <c:pt idx="97">
                  <c:v>-1.2903583026823418</c:v>
                </c:pt>
                <c:pt idx="98">
                  <c:v>-1.3019065730126402</c:v>
                </c:pt>
                <c:pt idx="99">
                  <c:v>-1.3134555217028663</c:v>
                </c:pt>
                <c:pt idx="100">
                  <c:v>-1.3250048756506347</c:v>
                </c:pt>
                <c:pt idx="101">
                  <c:v>-1.3365543690718082</c:v>
                </c:pt>
                <c:pt idx="102">
                  <c:v>-1.3481037433428629</c:v>
                </c:pt>
                <c:pt idx="103">
                  <c:v>-1.3596527468462158</c:v>
                </c:pt>
                <c:pt idx="104">
                  <c:v>-1.3712011348184598</c:v>
                </c:pt>
                <c:pt idx="105">
                  <c:v>-1.3827486692014819</c:v>
                </c:pt>
                <c:pt idx="106">
                  <c:v>-1.3942951184964147</c:v>
                </c:pt>
                <c:pt idx="107">
                  <c:v>-1.4058402576203906</c:v>
                </c:pt>
                <c:pt idx="108">
                  <c:v>-1.4173838677660511</c:v>
                </c:pt>
                <c:pt idx="109">
                  <c:v>-1.4289257362637739</c:v>
                </c:pt>
                <c:pt idx="110">
                  <c:v>-1.4404656564465821</c:v>
                </c:pt>
                <c:pt idx="111">
                  <c:v>-1.4520034275176863</c:v>
                </c:pt>
                <c:pt idx="112">
                  <c:v>-1.4635388544206254</c:v>
                </c:pt>
                <c:pt idx="113">
                  <c:v>-1.4750717477119659</c:v>
                </c:pt>
                <c:pt idx="114">
                  <c:v>-1.4866019234365184</c:v>
                </c:pt>
                <c:pt idx="115">
                  <c:v>-1.4981292030050239</c:v>
                </c:pt>
                <c:pt idx="116">
                  <c:v>-1.509653413074286</c:v>
                </c:pt>
                <c:pt idx="117">
                  <c:v>-1.5211743854296913</c:v>
                </c:pt>
                <c:pt idx="118">
                  <c:v>-1.5326919568700916</c:v>
                </c:pt>
                <c:pt idx="119">
                  <c:v>-1.5442059690950003</c:v>
                </c:pt>
                <c:pt idx="120">
                  <c:v>-1.5557162685940664</c:v>
                </c:pt>
                <c:pt idx="121">
                  <c:v>-1.5672227065387905</c:v>
                </c:pt>
                <c:pt idx="122">
                  <c:v>-1.5787251386764363</c:v>
                </c:pt>
                <c:pt idx="123">
                  <c:v>-1.5902234252261083</c:v>
                </c:pt>
                <c:pt idx="124">
                  <c:v>-1.6017174307769491</c:v>
                </c:pt>
                <c:pt idx="125">
                  <c:v>-1.6132070241884284</c:v>
                </c:pt>
                <c:pt idx="126">
                  <c:v>-1.6246920784926737</c:v>
                </c:pt>
                <c:pt idx="127">
                  <c:v>-1.636172470798819</c:v>
                </c:pt>
                <c:pt idx="128">
                  <c:v>-1.6476480821993258</c:v>
                </c:pt>
                <c:pt idx="129">
                  <c:v>-1.6591187976782462</c:v>
                </c:pt>
                <c:pt idx="130">
                  <c:v>-1.6705845060213858</c:v>
                </c:pt>
                <c:pt idx="131">
                  <c:v>-1.6820450997283398</c:v>
                </c:pt>
                <c:pt idx="132">
                  <c:v>-1.6935004749263605</c:v>
                </c:pt>
                <c:pt idx="133">
                  <c:v>-1.7049505312860231</c:v>
                </c:pt>
                <c:pt idx="134">
                  <c:v>-1.7163951719386616</c:v>
                </c:pt>
                <c:pt idx="135">
                  <c:v>-1.7278343033955341</c:v>
                </c:pt>
                <c:pt idx="136">
                  <c:v>-1.7392678354686861</c:v>
                </c:pt>
                <c:pt idx="137">
                  <c:v>-1.750695681193486</c:v>
                </c:pt>
                <c:pt idx="138">
                  <c:v>-1.7621177567527886</c:v>
                </c:pt>
                <c:pt idx="139">
                  <c:v>-1.7735339814027118</c:v>
                </c:pt>
                <c:pt idx="140">
                  <c:v>-1.7849442773999737</c:v>
                </c:pt>
                <c:pt idx="141">
                  <c:v>-1.7963485699307842</c:v>
                </c:pt>
                <c:pt idx="142">
                  <c:v>-1.8077467870412383</c:v>
                </c:pt>
                <c:pt idx="143">
                  <c:v>-1.8191388595691986</c:v>
                </c:pt>
                <c:pt idx="144">
                  <c:v>-1.8305247210776283</c:v>
                </c:pt>
                <c:pt idx="145">
                  <c:v>-1.841904307789348</c:v>
                </c:pt>
                <c:pt idx="146">
                  <c:v>-1.85327755852319</c:v>
                </c:pt>
                <c:pt idx="147">
                  <c:v>-1.864644414631522</c:v>
                </c:pt>
                <c:pt idx="148">
                  <c:v>-1.8760048199391102</c:v>
                </c:pt>
                <c:pt idx="149">
                  <c:v>-1.8873587206832994</c:v>
                </c:pt>
                <c:pt idx="150">
                  <c:v>-1.8987060654554799</c:v>
                </c:pt>
                <c:pt idx="151">
                  <c:v>-1.9100468051438149</c:v>
                </c:pt>
                <c:pt idx="152">
                  <c:v>-1.9213808928772105</c:v>
                </c:pt>
                <c:pt idx="153">
                  <c:v>-1.9327082839704901</c:v>
                </c:pt>
                <c:pt idx="154">
                  <c:v>-1.9440289358707643</c:v>
                </c:pt>
                <c:pt idx="155">
                  <c:v>-1.955342808104956</c:v>
                </c:pt>
                <c:pt idx="156">
                  <c:v>-1.966649862228472</c:v>
                </c:pt>
                <c:pt idx="157">
                  <c:v>-1.9779500617749874</c:v>
                </c:pt>
                <c:pt idx="158">
                  <c:v>-1.9892433722073239</c:v>
                </c:pt>
                <c:pt idx="159">
                  <c:v>-2.0005297608693997</c:v>
                </c:pt>
                <c:pt idx="160">
                  <c:v>-2.011809196939228</c:v>
                </c:pt>
                <c:pt idx="161">
                  <c:v>-2.0230816513829462</c:v>
                </c:pt>
              </c:numCache>
            </c:numRef>
          </c:val>
          <c:smooth val="0"/>
          <c:extLst>
            <c:ext xmlns:c16="http://schemas.microsoft.com/office/drawing/2014/chart" uri="{C3380CC4-5D6E-409C-BE32-E72D297353CC}">
              <c16:uniqueId val="{00000002-B800-4A57-B33A-E48EA65623AE}"/>
            </c:ext>
          </c:extLst>
        </c:ser>
        <c:dLbls>
          <c:showLegendKey val="0"/>
          <c:showVal val="0"/>
          <c:showCatName val="0"/>
          <c:showSerName val="0"/>
          <c:showPercent val="0"/>
          <c:showBubbleSize val="0"/>
        </c:dLbls>
        <c:smooth val="0"/>
        <c:axId val="1601073903"/>
        <c:axId val="1601074383"/>
      </c:lineChart>
      <c:catAx>
        <c:axId val="1601073903"/>
        <c:scaling>
          <c:orientation val="minMax"/>
        </c:scaling>
        <c:delete val="0"/>
        <c:axPos val="b"/>
        <c:title>
          <c:tx>
            <c:rich>
              <a:bodyPr/>
              <a:lstStyle/>
              <a:p>
                <a:pPr>
                  <a:defRPr/>
                </a:pPr>
                <a:r>
                  <a:rPr lang="en-US"/>
                  <a:t>Stock Price</a:t>
                </a:r>
              </a:p>
            </c:rich>
          </c:tx>
          <c:overlay val="0"/>
        </c:title>
        <c:numFmt formatCode="General" sourceLinked="1"/>
        <c:majorTickMark val="out"/>
        <c:minorTickMark val="none"/>
        <c:tickLblPos val="nextTo"/>
        <c:crossAx val="1601074383"/>
        <c:crosses val="autoZero"/>
        <c:auto val="1"/>
        <c:lblAlgn val="ctr"/>
        <c:lblOffset val="100"/>
        <c:noMultiLvlLbl val="0"/>
      </c:catAx>
      <c:valAx>
        <c:axId val="1601074383"/>
        <c:scaling>
          <c:orientation val="minMax"/>
        </c:scaling>
        <c:delete val="0"/>
        <c:axPos val="l"/>
        <c:majorGridlines/>
        <c:title>
          <c:tx>
            <c:rich>
              <a:bodyPr/>
              <a:lstStyle/>
              <a:p>
                <a:pPr>
                  <a:defRPr/>
                </a:pPr>
                <a:r>
                  <a:rPr lang="en-US"/>
                  <a:t>Rho</a:t>
                </a:r>
              </a:p>
            </c:rich>
          </c:tx>
          <c:overlay val="0"/>
        </c:title>
        <c:numFmt formatCode="0.000%;\(0.000%\)" sourceLinked="1"/>
        <c:majorTickMark val="out"/>
        <c:minorTickMark val="none"/>
        <c:tickLblPos val="nextTo"/>
        <c:crossAx val="16010739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439029</xdr:colOff>
      <xdr:row>1</xdr:row>
      <xdr:rowOff>61596</xdr:rowOff>
    </xdr:from>
    <xdr:to>
      <xdr:col>4</xdr:col>
      <xdr:colOff>618245</xdr:colOff>
      <xdr:row>1</xdr:row>
      <xdr:rowOff>157478</xdr:rowOff>
    </xdr:to>
    <xdr:sp macro="" textlink="">
      <xdr:nvSpPr>
        <xdr:cNvPr id="2" name="Arrow: Right 1">
          <a:extLst>
            <a:ext uri="{FF2B5EF4-FFF2-40B4-BE49-F238E27FC236}">
              <a16:creationId xmlns:a16="http://schemas.microsoft.com/office/drawing/2014/main" id="{8FA44BE1-8EFC-37AF-57C4-820C110E8108}"/>
            </a:ext>
          </a:extLst>
        </xdr:cNvPr>
        <xdr:cNvSpPr/>
      </xdr:nvSpPr>
      <xdr:spPr>
        <a:xfrm>
          <a:off x="3195676" y="263302"/>
          <a:ext cx="179216" cy="9588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a:p>
          <a:pPr algn="l"/>
          <a:endParaRPr lang="en-US" sz="1100"/>
        </a:p>
      </xdr:txBody>
    </xdr:sp>
    <xdr:clientData/>
  </xdr:twoCellAnchor>
  <xdr:twoCellAnchor>
    <xdr:from>
      <xdr:col>13</xdr:col>
      <xdr:colOff>0</xdr:colOff>
      <xdr:row>12</xdr:row>
      <xdr:rowOff>0</xdr:rowOff>
    </xdr:from>
    <xdr:to>
      <xdr:col>21</xdr:col>
      <xdr:colOff>203200</xdr:colOff>
      <xdr:row>32</xdr:row>
      <xdr:rowOff>0</xdr:rowOff>
    </xdr:to>
    <xdr:graphicFrame macro="">
      <xdr:nvGraphicFramePr>
        <xdr:cNvPr id="15" name="Chart 14">
          <a:extLst>
            <a:ext uri="{FF2B5EF4-FFF2-40B4-BE49-F238E27FC236}">
              <a16:creationId xmlns:a16="http://schemas.microsoft.com/office/drawing/2014/main" id="{386B9048-224D-9870-7494-7279A3EB1F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0</xdr:colOff>
      <xdr:row>12</xdr:row>
      <xdr:rowOff>0</xdr:rowOff>
    </xdr:from>
    <xdr:to>
      <xdr:col>29</xdr:col>
      <xdr:colOff>203200</xdr:colOff>
      <xdr:row>32</xdr:row>
      <xdr:rowOff>0</xdr:rowOff>
    </xdr:to>
    <xdr:graphicFrame macro="">
      <xdr:nvGraphicFramePr>
        <xdr:cNvPr id="16" name="Chart 15">
          <a:extLst>
            <a:ext uri="{FF2B5EF4-FFF2-40B4-BE49-F238E27FC236}">
              <a16:creationId xmlns:a16="http://schemas.microsoft.com/office/drawing/2014/main" id="{C4C2FD79-224D-17F3-0E2A-A196EC792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32</xdr:row>
      <xdr:rowOff>0</xdr:rowOff>
    </xdr:from>
    <xdr:to>
      <xdr:col>21</xdr:col>
      <xdr:colOff>203200</xdr:colOff>
      <xdr:row>52</xdr:row>
      <xdr:rowOff>0</xdr:rowOff>
    </xdr:to>
    <xdr:graphicFrame macro="">
      <xdr:nvGraphicFramePr>
        <xdr:cNvPr id="17" name="Chart 16">
          <a:extLst>
            <a:ext uri="{FF2B5EF4-FFF2-40B4-BE49-F238E27FC236}">
              <a16:creationId xmlns:a16="http://schemas.microsoft.com/office/drawing/2014/main" id="{5FDB8876-C999-2EE6-F7EB-7E0467A3C1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32</xdr:row>
      <xdr:rowOff>0</xdr:rowOff>
    </xdr:from>
    <xdr:to>
      <xdr:col>29</xdr:col>
      <xdr:colOff>203200</xdr:colOff>
      <xdr:row>52</xdr:row>
      <xdr:rowOff>0</xdr:rowOff>
    </xdr:to>
    <xdr:graphicFrame macro="">
      <xdr:nvGraphicFramePr>
        <xdr:cNvPr id="18" name="Chart 17">
          <a:extLst>
            <a:ext uri="{FF2B5EF4-FFF2-40B4-BE49-F238E27FC236}">
              <a16:creationId xmlns:a16="http://schemas.microsoft.com/office/drawing/2014/main" id="{0F11F7BF-3ECD-E524-A263-D344573A87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52</xdr:row>
      <xdr:rowOff>0</xdr:rowOff>
    </xdr:from>
    <xdr:to>
      <xdr:col>21</xdr:col>
      <xdr:colOff>203200</xdr:colOff>
      <xdr:row>72</xdr:row>
      <xdr:rowOff>0</xdr:rowOff>
    </xdr:to>
    <xdr:graphicFrame macro="">
      <xdr:nvGraphicFramePr>
        <xdr:cNvPr id="19" name="Chart 18">
          <a:extLst>
            <a:ext uri="{FF2B5EF4-FFF2-40B4-BE49-F238E27FC236}">
              <a16:creationId xmlns:a16="http://schemas.microsoft.com/office/drawing/2014/main" id="{1DA2AF35-EEC1-2FEC-B5B4-1C3C791A4D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52</xdr:row>
      <xdr:rowOff>0</xdr:rowOff>
    </xdr:from>
    <xdr:to>
      <xdr:col>29</xdr:col>
      <xdr:colOff>203200</xdr:colOff>
      <xdr:row>72</xdr:row>
      <xdr:rowOff>0</xdr:rowOff>
    </xdr:to>
    <xdr:graphicFrame macro="">
      <xdr:nvGraphicFramePr>
        <xdr:cNvPr id="20" name="Chart 19">
          <a:extLst>
            <a:ext uri="{FF2B5EF4-FFF2-40B4-BE49-F238E27FC236}">
              <a16:creationId xmlns:a16="http://schemas.microsoft.com/office/drawing/2014/main" id="{23CD5AFE-D59D-0EB5-A81B-45623628A5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2">
  <a r="1" c="250">
    <v t="i">0</v>
    <v t="i">1</v>
    <v t="i">4</v>
    <v t="i">5</v>
    <v t="i">6</v>
    <v t="i">8</v>
    <v t="i">11</v>
    <v t="i">12</v>
    <v t="i">13</v>
    <v t="i">14</v>
    <v t="i">15</v>
    <v t="i">18</v>
    <v t="i">19</v>
    <v t="i">20</v>
    <v t="i">21</v>
    <v t="i">22</v>
    <v t="i">25</v>
    <v t="i">26</v>
    <v t="i">27</v>
    <v t="i">28</v>
    <v t="i">29</v>
    <v t="i">32</v>
    <v t="i">33</v>
    <v t="i">34</v>
    <v t="i">35</v>
    <v t="i">36</v>
    <v t="i">39</v>
    <v t="i">40</v>
    <v t="i">41</v>
    <v t="i">42</v>
    <v t="i">43</v>
    <v t="i">46</v>
    <v t="i">47</v>
    <v t="i">48</v>
    <v t="i">49</v>
    <v t="i">50</v>
    <v t="i">53</v>
    <v t="i">54</v>
    <v t="i">55</v>
    <v t="i">56</v>
    <v t="i">57</v>
    <v t="i">60</v>
    <v t="i">61</v>
    <v t="i">62</v>
    <v t="i">63</v>
    <v t="i">64</v>
    <v t="i">68</v>
    <v t="i">69</v>
    <v t="i">70</v>
    <v t="i">71</v>
    <v t="i">74</v>
    <v t="i">75</v>
    <v t="i">76</v>
    <v t="i">77</v>
    <v t="i">78</v>
    <v t="i">81</v>
    <v t="i">82</v>
    <v t="i">83</v>
    <v t="i">84</v>
    <v t="i">85</v>
    <v t="i">88</v>
    <v t="i">89</v>
    <v t="i">90</v>
    <v t="i">91</v>
    <v t="i">92</v>
    <v t="i">95</v>
    <v t="i">96</v>
    <v t="i">97</v>
    <v t="i">98</v>
    <v t="i">99</v>
    <v t="i">102</v>
    <v t="i">103</v>
    <v t="i">104</v>
    <v t="i">105</v>
    <v t="i">106</v>
    <v t="i">109</v>
    <v t="i">110</v>
    <v t="i">111</v>
    <v t="i">112</v>
    <v t="i">113</v>
    <v t="i">116</v>
    <v t="i">117</v>
    <v t="i">118</v>
    <v t="i">119</v>
    <v t="i">120</v>
    <v t="i">123</v>
    <v t="i">124</v>
    <v t="i">125</v>
    <v t="i">126</v>
    <v t="i">127</v>
    <v t="i">130</v>
    <v t="i">131</v>
    <v t="i">132</v>
    <v t="i">133</v>
    <v t="i">134</v>
    <v t="i">137</v>
    <v t="i">138</v>
    <v t="i">139</v>
    <v t="i">140</v>
    <v t="i">141</v>
    <v t="i">144</v>
    <v t="i">145</v>
    <v t="i">146</v>
    <v t="i">147</v>
    <v t="i">148</v>
    <v t="i">151</v>
    <v t="i">152</v>
    <v t="i">153</v>
    <v t="i">155</v>
    <v t="i">158</v>
    <v t="i">159</v>
    <v t="i">160</v>
    <v t="i">161</v>
    <v t="i">162</v>
    <v t="i">165</v>
    <v t="i">166</v>
    <v t="i">167</v>
    <v t="i">168</v>
    <v t="i">169</v>
    <v t="i">172</v>
    <v t="i">173</v>
    <v t="i">174</v>
    <v t="i">175</v>
    <v t="i">176</v>
    <v t="i">179</v>
    <v t="i">180</v>
    <v t="i">182</v>
    <v t="i">183</v>
    <v t="i">186</v>
    <v t="i">187</v>
    <v t="i">189</v>
    <v t="i">190</v>
    <v t="i">193</v>
    <v t="i">194</v>
    <v t="i">195</v>
    <v t="i">197</v>
    <v t="i">200</v>
    <v t="i">201</v>
    <v t="i">202</v>
    <v t="i">203</v>
    <v t="i">204</v>
    <v t="i">208</v>
    <v t="i">209</v>
    <v t="i">210</v>
    <v t="i">211</v>
    <v t="i">214</v>
    <v t="i">215</v>
    <v t="i">216</v>
    <v t="i">217</v>
    <v t="i">218</v>
    <v t="i">221</v>
    <v t="i">222</v>
    <v t="i">223</v>
    <v t="i">224</v>
    <v t="i">225</v>
    <v t="i">228</v>
    <v t="i">229</v>
    <v t="i">230</v>
    <v t="i">231</v>
    <v t="i">232</v>
    <v t="i">236</v>
    <v t="i">237</v>
    <v t="i">238</v>
    <v t="i">239</v>
    <v t="i">242</v>
    <v t="i">243</v>
    <v t="i">244</v>
    <v t="i">245</v>
    <v t="i">246</v>
    <v t="i">249</v>
    <v t="i">250</v>
    <v t="i">251</v>
    <v t="i">252</v>
    <v t="i">253</v>
    <v t="i">256</v>
    <v t="i">257</v>
    <v t="i">258</v>
    <v t="i">259</v>
    <v t="i">260</v>
    <v t="i">263</v>
    <v t="i">264</v>
    <v t="i">265</v>
    <v t="i">266</v>
    <v t="i">267</v>
    <v t="i">270</v>
    <v t="i">271</v>
    <v t="i">272</v>
    <v t="i">273</v>
    <v t="i">274</v>
    <v t="i">277</v>
    <v t="i">278</v>
    <v t="i">279</v>
    <v t="i">280</v>
    <v t="i">281</v>
    <v t="i">284</v>
    <v t="i">285</v>
    <v t="i">286</v>
    <v t="i">287</v>
    <v t="i">288</v>
    <v t="i">291</v>
    <v t="i">292</v>
    <v t="i">293</v>
    <v t="i">294</v>
    <v t="i">298</v>
    <v t="i">299</v>
    <v t="i">300</v>
    <v t="i">301</v>
    <v t="i">302</v>
    <v t="i">305</v>
    <v t="i">306</v>
    <v t="i">307</v>
    <v t="i">308</v>
    <v t="i">309</v>
    <v t="i">312</v>
    <v t="i">313</v>
    <v t="i">314</v>
    <v t="i">315</v>
    <v t="i">316</v>
    <v t="i">319</v>
    <v t="i">320</v>
    <v t="i">321</v>
    <v t="i">322</v>
    <v t="i">323</v>
    <v t="i">326</v>
    <v t="i">327</v>
    <v t="i">328</v>
    <v t="i">329</v>
    <v t="i">330</v>
    <v t="i">334</v>
    <v t="i">335</v>
    <v t="i">336</v>
    <v t="i">337</v>
    <v t="i">340</v>
    <v t="i">341</v>
    <v t="i">342</v>
    <v t="i">343</v>
    <v t="i">344</v>
    <v t="i">347</v>
    <v t="i">348</v>
    <v t="i">349</v>
    <v t="i">350</v>
    <v t="i">351</v>
    <v t="i">354</v>
    <v t="i">355</v>
    <v t="i">356</v>
    <v t="i">358</v>
    <v t="i">361</v>
    <v t="i">362</v>
    <v t="i">363</v>
    <v t="i">364</v>
  </a>
  <a r="1" c="250">
    <v>25.22</v>
    <v>25.33</v>
    <v>25.88</v>
    <v>25.83</v>
    <v>25.85</v>
    <v>27.23</v>
    <v>27.7</v>
    <v>27.39</v>
    <v>28.42</v>
    <v>27.64</v>
    <v>28.07</v>
    <v>28.67</v>
    <v>28.67</v>
    <v>28.22</v>
    <v>28.64</v>
    <v>28.58</v>
    <v>28.46</v>
    <v>28.81</v>
    <v>26.6</v>
    <v>26.63</v>
    <v>27.18</v>
    <v>27.08</v>
    <v>26.37</v>
    <v>26.89</v>
    <v>26.08</v>
    <v>24.74</v>
    <v>24.09</v>
    <v>26.59</v>
    <v>26.32</v>
    <v>29.28</v>
    <v>30.01</v>
    <v>29.38</v>
    <v>30.39</v>
    <v>31</v>
    <v>31.22</v>
    <v>32.08</v>
    <v>32.5</v>
    <v>32.32</v>
    <v>32.54</v>
    <v>31.92</v>
    <v>31.78</v>
    <v>30.85</v>
    <v>30.84</v>
    <v>30.36</v>
    <v>31</v>
    <v>31.48</v>
    <v>30.51</v>
    <v>30.59</v>
    <v>30.16</v>
    <v>30.33</v>
    <v>34.6</v>
    <v>34.76</v>
    <v>34.85</v>
    <v>34.909999999999997</v>
    <v>35.590000000000003</v>
    <v>36.31</v>
    <v>36.450000000000003</v>
    <v>36.380000000000003</v>
    <v>36.83</v>
    <v>37.200000000000003</v>
    <v>37.950000000000003</v>
    <v>36.9</v>
    <v>37.119999999999997</v>
    <v>37.1</v>
    <v>36.840000000000003</v>
    <v>37.200000000000003</v>
    <v>36.46</v>
    <v>37.49</v>
    <v>39.24</v>
    <v>40.01</v>
    <v>38.89</v>
    <v>41.45</v>
    <v>43.13</v>
    <v>43.52</v>
    <v>43.51</v>
    <v>43.4</v>
    <v>42.43</v>
    <v>41.93</v>
    <v>42</v>
    <v>42.97</v>
    <v>42.7</v>
    <v>42.94</v>
    <v>42.59</v>
    <v>43.56</v>
    <v>44.86</v>
    <v>44.97</v>
    <v>44.93</v>
    <v>43.69</v>
    <v>41.56</v>
    <v>41.92</v>
    <v>41.41</v>
    <v>51.13</v>
    <v>55.53</v>
    <v>55.88</v>
    <v>58.39</v>
    <v>60.24</v>
    <v>59.85</v>
    <v>60.7</v>
    <v>59.18</v>
    <v>65.77</v>
    <v>61.26</v>
    <v>62.98</v>
    <v>62.12</v>
    <v>61.36</v>
    <v>64.349999999999994</v>
    <v>64.650000000000006</v>
    <v>65.739999999999995</v>
    <v>66.05</v>
    <v>67.08</v>
    <v>66.39</v>
    <v>70.959999999999994</v>
    <v>69.849999999999994</v>
    <v>71.87</v>
    <v>76.34</v>
    <v>72.459999999999994</v>
    <v>70.89</v>
    <v>72.510000000000005</v>
    <v>73.2</v>
    <v>76.069999999999993</v>
    <v>75.75</v>
    <v>74.39</v>
    <v>71.510000000000005</v>
    <v>74.209999999999994</v>
    <v>80.55</v>
    <v>80.69</v>
    <v>82.38</v>
    <v>82.14</v>
    <v>79.08</v>
    <v>77.180000000000007</v>
    <v>75.63</v>
    <v>75.19</v>
    <v>79.89</v>
    <v>75.92</v>
    <v>69.989999999999995</v>
    <v>68.23</v>
    <v>67.260000000000005</v>
    <v>64.98</v>
    <v>65.91</v>
    <v>68.14</v>
    <v>69.239999999999995</v>
    <v>71.77</v>
    <v>73.069999999999993</v>
    <v>76.87</v>
    <v>78.98</v>
    <v>78.98</v>
    <v>75.44</v>
    <v>80.23</v>
    <v>79.760000000000005</v>
    <v>81.22</v>
    <v>82.49</v>
    <v>83.74</v>
    <v>103.83</v>
    <v>101.36</v>
    <v>111.28</v>
    <v>110.85</v>
    <v>116.65</v>
    <v>112.62</v>
    <v>117.39</v>
    <v>117.91</v>
    <v>119.16</v>
    <v>124.62</v>
    <v>112.06</v>
    <v>106.27</v>
    <v>101.35</v>
    <v>90.68</v>
    <v>87.84</v>
    <v>89.31</v>
    <v>84.77</v>
    <v>84.92</v>
    <v>83.42</v>
    <v>84.4</v>
    <v>90.13</v>
    <v>80.459999999999994</v>
    <v>84.91</v>
    <v>76.38</v>
    <v>78.05</v>
    <v>83.65</v>
    <v>79.62</v>
    <v>86.24</v>
    <v>87.35</v>
    <v>83.89</v>
    <v>86.1</v>
    <v>87.39</v>
    <v>90.96</v>
    <v>96.75</v>
    <v>96.5</v>
    <v>92.28</v>
    <v>90.09</v>
    <v>85.85</v>
    <v>84.4</v>
    <v>84.68</v>
    <v>87.45</v>
    <v>83.6</v>
    <v>74.010000000000005</v>
    <v>77.84</v>
    <v>77.319999999999993</v>
    <v>92.01</v>
    <v>88.59</v>
    <v>88.55</v>
    <v>92.62</v>
    <v>98.4</v>
    <v>92.71</v>
    <v>93.78</v>
    <v>90.8</v>
    <v>93.99</v>
    <v>100.82</v>
    <v>107.78</v>
    <v>112.78</v>
    <v>114.65</v>
    <v>116.08</v>
    <v>118.44</v>
    <v>116.2</v>
    <v>124.28</v>
    <v>123.77</v>
    <v>108.86</v>
    <v>110.48</v>
    <v>119.15</v>
    <v>117.3</v>
    <v>118.46</v>
    <v>128.1</v>
    <v>130.18</v>
    <v>128.12</v>
    <v>129.52000000000001</v>
    <v>126.33</v>
    <v>125.59</v>
    <v>120.58</v>
    <v>122.29</v>
    <v>123.31</v>
    <v>123.39</v>
    <v>123.76</v>
    <v>122.32</v>
    <v>131.78</v>
    <v>132.04</v>
    <v>133.16999999999999</v>
    <v>130.01</v>
    <v>119.91</v>
    <v>127.72</v>
    <v>132.06</v>
    <v>132.81</v>
    <v>136.38999999999999</v>
    <v>135.19</v>
    <v>137.4</v>
    <v>141.41</v>
    <v>138.19999999999999</v>
    <v>139.96</v>
    <v>137.30000000000001</v>
    <v>139.91999999999999</v>
    <v>143.22999999999999</v>
    <v>142.9</v>
    <v>144.25</v>
  </a>
</arrayData>
</file>

<file path=xl/richData/rdrichvalue.xml><?xml version="1.0" encoding="utf-8"?>
<rvData xmlns="http://schemas.microsoft.com/office/spreadsheetml/2017/richdata" count="499">
  <rv s="0">
    <v>https://www.bing.com/financeapi/forcetrigger?t=bvsk7w&amp;q=XNYS%3aPLTR&amp;form=skydnc</v>
    <v>Learn more on Bing</v>
  </rv>
  <rv s="1">
    <v>en-US</v>
    <v>bvsk7w</v>
    <v>268435456</v>
    <v>1</v>
    <v>Powered by Refinitiv</v>
    <v>0</v>
    <v>PALANTIR TECHNOLOGIES INC. (XNAS:PLTR)</v>
    <v>2</v>
    <v>3</v>
    <v>Finance</v>
    <v>4</v>
    <v>148.215</v>
    <v>21.23</v>
    <v>2.6253000000000002</v>
    <v>-7.2900999999999998</v>
    <v>-5.0538E-2</v>
    <v>USD</v>
    <v>Palantir Technologies Inc. is engaged in building software to assist in counterterrorism investigations and operations. The Company has built four principal software platforms, including Palantir Gotham (Gotham), Palantir Foundry (Foundry), Palantir Apollo (Apollo), and Palantir Artificial Intelligence Platform (AIP). Apollo is a cloud-agnostic, single control layer that coordinates ongoing delivery of new features, security updates, and platform configurations, helping to ensure the continuous operation of critical systems. Gotham enables users to identify patterns hidden deep within datasets, ranging from signals intelligence sources to reports from confidential informants. Foundry transforms the ways organizations operate by creating a central operating system for their data. AIP enables responsible artificial intelligence (AI)-advantage across the enterprise by using primary, core components built to effectively activate large language models and other AI within any organization.</v>
    <v>4001</v>
    <v>Nasdaq Stock Market</v>
    <v>XNAS</v>
    <v>XNAS</v>
    <v>1200 17Th Street, Floor 15, DENVER, CO, 80202 US</v>
    <v>144.97</v>
    <v>Software &amp; IT Services</v>
    <v>Stock</v>
    <v>45835.629668610934</v>
    <v>0</v>
    <v>136.11000000000001</v>
    <v>323213311528</v>
    <v>PALANTIR TECHNOLOGIES INC.</v>
    <v>PALANTIR TECHNOLOGIES INC.</v>
    <v>144.77000000000001</v>
    <v>598.07820000000004</v>
    <v>144.25</v>
    <v>136.9599</v>
    <v>2359912000</v>
    <v>PLTR</v>
    <v>PALANTIR TECHNOLOGIES INC. (XNAS:PLTR)</v>
    <v>51179909</v>
    <v>82856798</v>
    <v>2003</v>
  </rv>
  <rv s="2">
    <v>1</v>
  </rv>
  <rv s="3">
    <fb>45470</fb>
    <v>5</v>
  </rv>
  <rv s="3">
    <fb>25.22</fb>
    <v>6</v>
  </rv>
  <rv s="3">
    <fb>45471</fb>
    <v>5</v>
  </rv>
  <rv s="3">
    <fb>25.33</fb>
    <v>6</v>
  </rv>
  <rv s="3">
    <fb>45474</fb>
    <v>5</v>
  </rv>
  <rv s="3">
    <fb>25.88</fb>
    <v>6</v>
  </rv>
  <rv s="3">
    <fb>45475</fb>
    <v>5</v>
  </rv>
  <rv s="3">
    <fb>25.83</fb>
    <v>6</v>
  </rv>
  <rv s="3">
    <fb>45476</fb>
    <v>5</v>
  </rv>
  <rv s="3">
    <fb>25.85</fb>
    <v>6</v>
  </rv>
  <rv s="3">
    <fb>45478</fb>
    <v>5</v>
  </rv>
  <rv s="3">
    <fb>27.23</fb>
    <v>6</v>
  </rv>
  <rv s="3">
    <fb>45481</fb>
    <v>5</v>
  </rv>
  <rv s="3">
    <fb>27.7</fb>
    <v>6</v>
  </rv>
  <rv s="3">
    <fb>45482</fb>
    <v>5</v>
  </rv>
  <rv s="3">
    <fb>27.39</fb>
    <v>6</v>
  </rv>
  <rv s="3">
    <fb>45483</fb>
    <v>5</v>
  </rv>
  <rv s="3">
    <fb>28.42</fb>
    <v>6</v>
  </rv>
  <rv s="3">
    <fb>45484</fb>
    <v>5</v>
  </rv>
  <rv s="3">
    <fb>27.64</fb>
    <v>6</v>
  </rv>
  <rv s="3">
    <fb>45485</fb>
    <v>5</v>
  </rv>
  <rv s="3">
    <fb>28.07</fb>
    <v>6</v>
  </rv>
  <rv s="3">
    <fb>45488</fb>
    <v>5</v>
  </rv>
  <rv s="3">
    <fb>28.67</fb>
    <v>6</v>
  </rv>
  <rv s="3">
    <fb>45489</fb>
    <v>5</v>
  </rv>
  <rv s="3">
    <fb>45490</fb>
    <v>5</v>
  </rv>
  <rv s="3">
    <fb>28.22</fb>
    <v>6</v>
  </rv>
  <rv s="3">
    <fb>45491</fb>
    <v>5</v>
  </rv>
  <rv s="3">
    <fb>28.64</fb>
    <v>6</v>
  </rv>
  <rv s="3">
    <fb>45492</fb>
    <v>5</v>
  </rv>
  <rv s="3">
    <fb>28.58</fb>
    <v>6</v>
  </rv>
  <rv s="3">
    <fb>45495</fb>
    <v>5</v>
  </rv>
  <rv s="3">
    <fb>28.46</fb>
    <v>6</v>
  </rv>
  <rv s="3">
    <fb>45496</fb>
    <v>5</v>
  </rv>
  <rv s="3">
    <fb>28.81</fb>
    <v>6</v>
  </rv>
  <rv s="3">
    <fb>45497</fb>
    <v>5</v>
  </rv>
  <rv s="3">
    <fb>26.6</fb>
    <v>6</v>
  </rv>
  <rv s="3">
    <fb>45498</fb>
    <v>5</v>
  </rv>
  <rv s="3">
    <fb>26.63</fb>
    <v>6</v>
  </rv>
  <rv s="3">
    <fb>45499</fb>
    <v>5</v>
  </rv>
  <rv s="3">
    <fb>27.18</fb>
    <v>6</v>
  </rv>
  <rv s="3">
    <fb>45502</fb>
    <v>5</v>
  </rv>
  <rv s="3">
    <fb>27.08</fb>
    <v>6</v>
  </rv>
  <rv s="3">
    <fb>45503</fb>
    <v>5</v>
  </rv>
  <rv s="3">
    <fb>26.37</fb>
    <v>6</v>
  </rv>
  <rv s="3">
    <fb>45504</fb>
    <v>5</v>
  </rv>
  <rv s="3">
    <fb>26.89</fb>
    <v>6</v>
  </rv>
  <rv s="3">
    <fb>45505</fb>
    <v>5</v>
  </rv>
  <rv s="3">
    <fb>26.08</fb>
    <v>6</v>
  </rv>
  <rv s="3">
    <fb>45506</fb>
    <v>5</v>
  </rv>
  <rv s="3">
    <fb>24.74</fb>
    <v>6</v>
  </rv>
  <rv s="3">
    <fb>45509</fb>
    <v>5</v>
  </rv>
  <rv s="3">
    <fb>24.09</fb>
    <v>6</v>
  </rv>
  <rv s="3">
    <fb>45510</fb>
    <v>5</v>
  </rv>
  <rv s="3">
    <fb>26.59</fb>
    <v>6</v>
  </rv>
  <rv s="3">
    <fb>45511</fb>
    <v>5</v>
  </rv>
  <rv s="3">
    <fb>26.32</fb>
    <v>6</v>
  </rv>
  <rv s="3">
    <fb>45512</fb>
    <v>5</v>
  </rv>
  <rv s="3">
    <fb>29.28</fb>
    <v>6</v>
  </rv>
  <rv s="3">
    <fb>45513</fb>
    <v>5</v>
  </rv>
  <rv s="3">
    <fb>30.01</fb>
    <v>6</v>
  </rv>
  <rv s="3">
    <fb>45516</fb>
    <v>5</v>
  </rv>
  <rv s="3">
    <fb>29.38</fb>
    <v>6</v>
  </rv>
  <rv s="3">
    <fb>45517</fb>
    <v>5</v>
  </rv>
  <rv s="3">
    <fb>30.39</fb>
    <v>6</v>
  </rv>
  <rv s="3">
    <fb>45518</fb>
    <v>5</v>
  </rv>
  <rv s="3">
    <fb>31</fb>
    <v>6</v>
  </rv>
  <rv s="3">
    <fb>45519</fb>
    <v>5</v>
  </rv>
  <rv s="3">
    <fb>31.22</fb>
    <v>6</v>
  </rv>
  <rv s="3">
    <fb>45520</fb>
    <v>5</v>
  </rv>
  <rv s="3">
    <fb>32.08</fb>
    <v>6</v>
  </rv>
  <rv s="3">
    <fb>45523</fb>
    <v>5</v>
  </rv>
  <rv s="3">
    <fb>32.5</fb>
    <v>6</v>
  </rv>
  <rv s="3">
    <fb>45524</fb>
    <v>5</v>
  </rv>
  <rv s="3">
    <fb>32.32</fb>
    <v>6</v>
  </rv>
  <rv s="3">
    <fb>45525</fb>
    <v>5</v>
  </rv>
  <rv s="3">
    <fb>32.54</fb>
    <v>6</v>
  </rv>
  <rv s="3">
    <fb>45526</fb>
    <v>5</v>
  </rv>
  <rv s="3">
    <fb>31.92</fb>
    <v>6</v>
  </rv>
  <rv s="3">
    <fb>45527</fb>
    <v>5</v>
  </rv>
  <rv s="3">
    <fb>31.78</fb>
    <v>6</v>
  </rv>
  <rv s="3">
    <fb>45530</fb>
    <v>5</v>
  </rv>
  <rv s="3">
    <fb>30.85</fb>
    <v>6</v>
  </rv>
  <rv s="3">
    <fb>45531</fb>
    <v>5</v>
  </rv>
  <rv s="3">
    <fb>30.84</fb>
    <v>6</v>
  </rv>
  <rv s="3">
    <fb>45532</fb>
    <v>5</v>
  </rv>
  <rv s="3">
    <fb>30.36</fb>
    <v>6</v>
  </rv>
  <rv s="3">
    <fb>45533</fb>
    <v>5</v>
  </rv>
  <rv s="3">
    <fb>45534</fb>
    <v>5</v>
  </rv>
  <rv s="3">
    <fb>31.48</fb>
    <v>6</v>
  </rv>
  <rv s="3">
    <fb>45538</fb>
    <v>5</v>
  </rv>
  <rv s="3">
    <fb>30.51</fb>
    <v>6</v>
  </rv>
  <rv s="3">
    <fb>45539</fb>
    <v>5</v>
  </rv>
  <rv s="3">
    <fb>30.59</fb>
    <v>6</v>
  </rv>
  <rv s="3">
    <fb>45540</fb>
    <v>5</v>
  </rv>
  <rv s="3">
    <fb>30.16</fb>
    <v>6</v>
  </rv>
  <rv s="3">
    <fb>45541</fb>
    <v>5</v>
  </rv>
  <rv s="3">
    <fb>30.33</fb>
    <v>6</v>
  </rv>
  <rv s="3">
    <fb>45544</fb>
    <v>5</v>
  </rv>
  <rv s="3">
    <fb>34.6</fb>
    <v>6</v>
  </rv>
  <rv s="3">
    <fb>45545</fb>
    <v>5</v>
  </rv>
  <rv s="3">
    <fb>34.76</fb>
    <v>6</v>
  </rv>
  <rv s="3">
    <fb>45546</fb>
    <v>5</v>
  </rv>
  <rv s="3">
    <fb>34.85</fb>
    <v>6</v>
  </rv>
  <rv s="3">
    <fb>45547</fb>
    <v>5</v>
  </rv>
  <rv s="3">
    <fb>34.909999999999997</fb>
    <v>6</v>
  </rv>
  <rv s="3">
    <fb>45548</fb>
    <v>5</v>
  </rv>
  <rv s="3">
    <fb>35.590000000000003</fb>
    <v>6</v>
  </rv>
  <rv s="3">
    <fb>45551</fb>
    <v>5</v>
  </rv>
  <rv s="3">
    <fb>36.31</fb>
    <v>6</v>
  </rv>
  <rv s="3">
    <fb>45552</fb>
    <v>5</v>
  </rv>
  <rv s="3">
    <fb>36.450000000000003</fb>
    <v>6</v>
  </rv>
  <rv s="3">
    <fb>45553</fb>
    <v>5</v>
  </rv>
  <rv s="3">
    <fb>36.380000000000003</fb>
    <v>6</v>
  </rv>
  <rv s="3">
    <fb>45554</fb>
    <v>5</v>
  </rv>
  <rv s="3">
    <fb>36.83</fb>
    <v>6</v>
  </rv>
  <rv s="3">
    <fb>45555</fb>
    <v>5</v>
  </rv>
  <rv s="3">
    <fb>37.200000000000003</fb>
    <v>6</v>
  </rv>
  <rv s="3">
    <fb>45558</fb>
    <v>5</v>
  </rv>
  <rv s="3">
    <fb>37.950000000000003</fb>
    <v>6</v>
  </rv>
  <rv s="3">
    <fb>45559</fb>
    <v>5</v>
  </rv>
  <rv s="3">
    <fb>36.9</fb>
    <v>6</v>
  </rv>
  <rv s="3">
    <fb>45560</fb>
    <v>5</v>
  </rv>
  <rv s="3">
    <fb>37.119999999999997</fb>
    <v>6</v>
  </rv>
  <rv s="3">
    <fb>45561</fb>
    <v>5</v>
  </rv>
  <rv s="3">
    <fb>37.1</fb>
    <v>6</v>
  </rv>
  <rv s="3">
    <fb>45562</fb>
    <v>5</v>
  </rv>
  <rv s="3">
    <fb>36.840000000000003</fb>
    <v>6</v>
  </rv>
  <rv s="3">
    <fb>45565</fb>
    <v>5</v>
  </rv>
  <rv s="3">
    <fb>45566</fb>
    <v>5</v>
  </rv>
  <rv s="3">
    <fb>36.46</fb>
    <v>6</v>
  </rv>
  <rv s="3">
    <fb>45567</fb>
    <v>5</v>
  </rv>
  <rv s="3">
    <fb>37.49</fb>
    <v>6</v>
  </rv>
  <rv s="3">
    <fb>45568</fb>
    <v>5</v>
  </rv>
  <rv s="3">
    <fb>39.24</fb>
    <v>6</v>
  </rv>
  <rv s="3">
    <fb>45569</fb>
    <v>5</v>
  </rv>
  <rv s="3">
    <fb>40.01</fb>
    <v>6</v>
  </rv>
  <rv s="3">
    <fb>45572</fb>
    <v>5</v>
  </rv>
  <rv s="3">
    <fb>38.89</fb>
    <v>6</v>
  </rv>
  <rv s="3">
    <fb>45573</fb>
    <v>5</v>
  </rv>
  <rv s="3">
    <fb>41.45</fb>
    <v>6</v>
  </rv>
  <rv s="3">
    <fb>45574</fb>
    <v>5</v>
  </rv>
  <rv s="3">
    <fb>43.13</fb>
    <v>6</v>
  </rv>
  <rv s="3">
    <fb>45575</fb>
    <v>5</v>
  </rv>
  <rv s="3">
    <fb>43.52</fb>
    <v>6</v>
  </rv>
  <rv s="3">
    <fb>45576</fb>
    <v>5</v>
  </rv>
  <rv s="3">
    <fb>43.51</fb>
    <v>6</v>
  </rv>
  <rv s="3">
    <fb>45579</fb>
    <v>5</v>
  </rv>
  <rv s="3">
    <fb>43.4</fb>
    <v>6</v>
  </rv>
  <rv s="3">
    <fb>45580</fb>
    <v>5</v>
  </rv>
  <rv s="3">
    <fb>42.43</fb>
    <v>6</v>
  </rv>
  <rv s="3">
    <fb>45581</fb>
    <v>5</v>
  </rv>
  <rv s="3">
    <fb>41.93</fb>
    <v>6</v>
  </rv>
  <rv s="3">
    <fb>45582</fb>
    <v>5</v>
  </rv>
  <rv s="3">
    <fb>42</fb>
    <v>6</v>
  </rv>
  <rv s="3">
    <fb>45583</fb>
    <v>5</v>
  </rv>
  <rv s="3">
    <fb>42.97</fb>
    <v>6</v>
  </rv>
  <rv s="3">
    <fb>45586</fb>
    <v>5</v>
  </rv>
  <rv s="3">
    <fb>42.7</fb>
    <v>6</v>
  </rv>
  <rv s="3">
    <fb>45587</fb>
    <v>5</v>
  </rv>
  <rv s="3">
    <fb>42.94</fb>
    <v>6</v>
  </rv>
  <rv s="3">
    <fb>45588</fb>
    <v>5</v>
  </rv>
  <rv s="3">
    <fb>42.59</fb>
    <v>6</v>
  </rv>
  <rv s="3">
    <fb>45589</fb>
    <v>5</v>
  </rv>
  <rv s="3">
    <fb>43.56</fb>
    <v>6</v>
  </rv>
  <rv s="3">
    <fb>45590</fb>
    <v>5</v>
  </rv>
  <rv s="3">
    <fb>44.86</fb>
    <v>6</v>
  </rv>
  <rv s="3">
    <fb>45593</fb>
    <v>5</v>
  </rv>
  <rv s="3">
    <fb>44.97</fb>
    <v>6</v>
  </rv>
  <rv s="3">
    <fb>45594</fb>
    <v>5</v>
  </rv>
  <rv s="3">
    <fb>44.93</fb>
    <v>6</v>
  </rv>
  <rv s="3">
    <fb>45595</fb>
    <v>5</v>
  </rv>
  <rv s="3">
    <fb>43.69</fb>
    <v>6</v>
  </rv>
  <rv s="3">
    <fb>45596</fb>
    <v>5</v>
  </rv>
  <rv s="3">
    <fb>41.56</fb>
    <v>6</v>
  </rv>
  <rv s="3">
    <fb>45597</fb>
    <v>5</v>
  </rv>
  <rv s="3">
    <fb>41.92</fb>
    <v>6</v>
  </rv>
  <rv s="3">
    <fb>45600</fb>
    <v>5</v>
  </rv>
  <rv s="3">
    <fb>41.41</fb>
    <v>6</v>
  </rv>
  <rv s="3">
    <fb>45601</fb>
    <v>5</v>
  </rv>
  <rv s="3">
    <fb>51.13</fb>
    <v>6</v>
  </rv>
  <rv s="3">
    <fb>45602</fb>
    <v>5</v>
  </rv>
  <rv s="3">
    <fb>55.53</fb>
    <v>6</v>
  </rv>
  <rv s="3">
    <fb>45603</fb>
    <v>5</v>
  </rv>
  <rv s="3">
    <fb>55.88</fb>
    <v>6</v>
  </rv>
  <rv s="3">
    <fb>45604</fb>
    <v>5</v>
  </rv>
  <rv s="3">
    <fb>58.39</fb>
    <v>6</v>
  </rv>
  <rv s="3">
    <fb>45607</fb>
    <v>5</v>
  </rv>
  <rv s="3">
    <fb>60.24</fb>
    <v>6</v>
  </rv>
  <rv s="3">
    <fb>45608</fb>
    <v>5</v>
  </rv>
  <rv s="3">
    <fb>59.85</fb>
    <v>6</v>
  </rv>
  <rv s="3">
    <fb>45609</fb>
    <v>5</v>
  </rv>
  <rv s="3">
    <fb>60.7</fb>
    <v>6</v>
  </rv>
  <rv s="3">
    <fb>45610</fb>
    <v>5</v>
  </rv>
  <rv s="3">
    <fb>59.18</fb>
    <v>6</v>
  </rv>
  <rv s="3">
    <fb>45611</fb>
    <v>5</v>
  </rv>
  <rv s="3">
    <fb>65.77</fb>
    <v>6</v>
  </rv>
  <rv s="3">
    <fb>45614</fb>
    <v>5</v>
  </rv>
  <rv s="3">
    <fb>61.26</fb>
    <v>6</v>
  </rv>
  <rv s="3">
    <fb>45615</fb>
    <v>5</v>
  </rv>
  <rv s="3">
    <fb>62.98</fb>
    <v>6</v>
  </rv>
  <rv s="3">
    <fb>45616</fb>
    <v>5</v>
  </rv>
  <rv s="3">
    <fb>62.12</fb>
    <v>6</v>
  </rv>
  <rv s="3">
    <fb>45617</fb>
    <v>5</v>
  </rv>
  <rv s="3">
    <fb>61.36</fb>
    <v>6</v>
  </rv>
  <rv s="3">
    <fb>45618</fb>
    <v>5</v>
  </rv>
  <rv s="3">
    <fb>64.349999999999994</fb>
    <v>6</v>
  </rv>
  <rv s="3">
    <fb>45621</fb>
    <v>5</v>
  </rv>
  <rv s="3">
    <fb>64.650000000000006</fb>
    <v>6</v>
  </rv>
  <rv s="3">
    <fb>45622</fb>
    <v>5</v>
  </rv>
  <rv s="3">
    <fb>65.739999999999995</fb>
    <v>6</v>
  </rv>
  <rv s="3">
    <fb>45623</fb>
    <v>5</v>
  </rv>
  <rv s="3">
    <fb>66.05</fb>
    <v>6</v>
  </rv>
  <rv s="3">
    <fb>45625</fb>
    <v>5</v>
  </rv>
  <rv s="3">
    <fb>67.08</fb>
    <v>6</v>
  </rv>
  <rv s="3">
    <fb>45628</fb>
    <v>5</v>
  </rv>
  <rv s="3">
    <fb>66.39</fb>
    <v>6</v>
  </rv>
  <rv s="3">
    <fb>45629</fb>
    <v>5</v>
  </rv>
  <rv s="3">
    <fb>70.959999999999994</fb>
    <v>6</v>
  </rv>
  <rv s="3">
    <fb>45630</fb>
    <v>5</v>
  </rv>
  <rv s="3">
    <fb>69.849999999999994</fb>
    <v>6</v>
  </rv>
  <rv s="3">
    <fb>45631</fb>
    <v>5</v>
  </rv>
  <rv s="3">
    <fb>71.87</fb>
    <v>6</v>
  </rv>
  <rv s="3">
    <fb>45632</fb>
    <v>5</v>
  </rv>
  <rv s="3">
    <fb>76.34</fb>
    <v>6</v>
  </rv>
  <rv s="3">
    <fb>45635</fb>
    <v>5</v>
  </rv>
  <rv s="3">
    <fb>72.459999999999994</fb>
    <v>6</v>
  </rv>
  <rv s="3">
    <fb>45636</fb>
    <v>5</v>
  </rv>
  <rv s="3">
    <fb>70.89</fb>
    <v>6</v>
  </rv>
  <rv s="3">
    <fb>45637</fb>
    <v>5</v>
  </rv>
  <rv s="3">
    <fb>72.510000000000005</fb>
    <v>6</v>
  </rv>
  <rv s="3">
    <fb>45638</fb>
    <v>5</v>
  </rv>
  <rv s="3">
    <fb>73.2</fb>
    <v>6</v>
  </rv>
  <rv s="3">
    <fb>45639</fb>
    <v>5</v>
  </rv>
  <rv s="3">
    <fb>76.069999999999993</fb>
    <v>6</v>
  </rv>
  <rv s="3">
    <fb>45642</fb>
    <v>5</v>
  </rv>
  <rv s="3">
    <fb>75.75</fb>
    <v>6</v>
  </rv>
  <rv s="3">
    <fb>45643</fb>
    <v>5</v>
  </rv>
  <rv s="3">
    <fb>74.39</fb>
    <v>6</v>
  </rv>
  <rv s="3">
    <fb>45644</fb>
    <v>5</v>
  </rv>
  <rv s="3">
    <fb>71.510000000000005</fb>
    <v>6</v>
  </rv>
  <rv s="3">
    <fb>45645</fb>
    <v>5</v>
  </rv>
  <rv s="3">
    <fb>74.209999999999994</fb>
    <v>6</v>
  </rv>
  <rv s="3">
    <fb>45646</fb>
    <v>5</v>
  </rv>
  <rv s="3">
    <fb>80.55</fb>
    <v>6</v>
  </rv>
  <rv s="3">
    <fb>45649</fb>
    <v>5</v>
  </rv>
  <rv s="3">
    <fb>80.69</fb>
    <v>6</v>
  </rv>
  <rv s="3">
    <fb>45650</fb>
    <v>5</v>
  </rv>
  <rv s="3">
    <fb>82.38</fb>
    <v>6</v>
  </rv>
  <rv s="3">
    <fb>45652</fb>
    <v>5</v>
  </rv>
  <rv s="3">
    <fb>82.14</fb>
    <v>6</v>
  </rv>
  <rv s="3">
    <fb>45653</fb>
    <v>5</v>
  </rv>
  <rv s="3">
    <fb>79.08</fb>
    <v>6</v>
  </rv>
  <rv s="3">
    <fb>45656</fb>
    <v>5</v>
  </rv>
  <rv s="3">
    <fb>77.180000000000007</fb>
    <v>6</v>
  </rv>
  <rv s="3">
    <fb>45657</fb>
    <v>5</v>
  </rv>
  <rv s="3">
    <fb>75.63</fb>
    <v>6</v>
  </rv>
  <rv s="3">
    <fb>45659</fb>
    <v>5</v>
  </rv>
  <rv s="3">
    <fb>75.19</fb>
    <v>6</v>
  </rv>
  <rv s="3">
    <fb>45660</fb>
    <v>5</v>
  </rv>
  <rv s="3">
    <fb>79.89</fb>
    <v>6</v>
  </rv>
  <rv s="3">
    <fb>45663</fb>
    <v>5</v>
  </rv>
  <rv s="3">
    <fb>75.92</fb>
    <v>6</v>
  </rv>
  <rv s="3">
    <fb>45664</fb>
    <v>5</v>
  </rv>
  <rv s="3">
    <fb>69.989999999999995</fb>
    <v>6</v>
  </rv>
  <rv s="3">
    <fb>45665</fb>
    <v>5</v>
  </rv>
  <rv s="3">
    <fb>68.23</fb>
    <v>6</v>
  </rv>
  <rv s="3">
    <fb>45667</fb>
    <v>5</v>
  </rv>
  <rv s="3">
    <fb>67.260000000000005</fb>
    <v>6</v>
  </rv>
  <rv s="3">
    <fb>45670</fb>
    <v>5</v>
  </rv>
  <rv s="3">
    <fb>64.98</fb>
    <v>6</v>
  </rv>
  <rv s="3">
    <fb>45671</fb>
    <v>5</v>
  </rv>
  <rv s="3">
    <fb>65.91</fb>
    <v>6</v>
  </rv>
  <rv s="3">
    <fb>45672</fb>
    <v>5</v>
  </rv>
  <rv s="3">
    <fb>68.14</fb>
    <v>6</v>
  </rv>
  <rv s="3">
    <fb>45673</fb>
    <v>5</v>
  </rv>
  <rv s="3">
    <fb>69.239999999999995</fb>
    <v>6</v>
  </rv>
  <rv s="3">
    <fb>45674</fb>
    <v>5</v>
  </rv>
  <rv s="3">
    <fb>71.77</fb>
    <v>6</v>
  </rv>
  <rv s="3">
    <fb>45678</fb>
    <v>5</v>
  </rv>
  <rv s="3">
    <fb>73.069999999999993</fb>
    <v>6</v>
  </rv>
  <rv s="3">
    <fb>45679</fb>
    <v>5</v>
  </rv>
  <rv s="3">
    <fb>76.87</fb>
    <v>6</v>
  </rv>
  <rv s="3">
    <fb>45680</fb>
    <v>5</v>
  </rv>
  <rv s="3">
    <fb>78.98</fb>
    <v>6</v>
  </rv>
  <rv s="3">
    <fb>45681</fb>
    <v>5</v>
  </rv>
  <rv s="3">
    <fb>45684</fb>
    <v>5</v>
  </rv>
  <rv s="3">
    <fb>75.44</fb>
    <v>6</v>
  </rv>
  <rv s="3">
    <fb>45685</fb>
    <v>5</v>
  </rv>
  <rv s="3">
    <fb>80.23</fb>
    <v>6</v>
  </rv>
  <rv s="3">
    <fb>45686</fb>
    <v>5</v>
  </rv>
  <rv s="3">
    <fb>79.760000000000005</fb>
    <v>6</v>
  </rv>
  <rv s="3">
    <fb>45687</fb>
    <v>5</v>
  </rv>
  <rv s="3">
    <fb>81.22</fb>
    <v>6</v>
  </rv>
  <rv s="3">
    <fb>45688</fb>
    <v>5</v>
  </rv>
  <rv s="3">
    <fb>82.49</fb>
    <v>6</v>
  </rv>
  <rv s="3">
    <fb>45691</fb>
    <v>5</v>
  </rv>
  <rv s="3">
    <fb>83.74</fb>
    <v>6</v>
  </rv>
  <rv s="3">
    <fb>45692</fb>
    <v>5</v>
  </rv>
  <rv s="3">
    <fb>103.83</fb>
    <v>6</v>
  </rv>
  <rv s="3">
    <fb>45693</fb>
    <v>5</v>
  </rv>
  <rv s="3">
    <fb>101.36</fb>
    <v>6</v>
  </rv>
  <rv s="3">
    <fb>45694</fb>
    <v>5</v>
  </rv>
  <rv s="3">
    <fb>111.28</fb>
    <v>6</v>
  </rv>
  <rv s="3">
    <fb>45695</fb>
    <v>5</v>
  </rv>
  <rv s="3">
    <fb>110.85</fb>
    <v>6</v>
  </rv>
  <rv s="3">
    <fb>45698</fb>
    <v>5</v>
  </rv>
  <rv s="3">
    <fb>116.65</fb>
    <v>6</v>
  </rv>
  <rv s="3">
    <fb>45699</fb>
    <v>5</v>
  </rv>
  <rv s="3">
    <fb>112.62</fb>
    <v>6</v>
  </rv>
  <rv s="3">
    <fb>45700</fb>
    <v>5</v>
  </rv>
  <rv s="3">
    <fb>117.39</fb>
    <v>6</v>
  </rv>
  <rv s="3">
    <fb>45701</fb>
    <v>5</v>
  </rv>
  <rv s="3">
    <fb>117.91</fb>
    <v>6</v>
  </rv>
  <rv s="3">
    <fb>45702</fb>
    <v>5</v>
  </rv>
  <rv s="3">
    <fb>119.16</fb>
    <v>6</v>
  </rv>
  <rv s="3">
    <fb>45706</fb>
    <v>5</v>
  </rv>
  <rv s="3">
    <fb>124.62</fb>
    <v>6</v>
  </rv>
  <rv s="3">
    <fb>45707</fb>
    <v>5</v>
  </rv>
  <rv s="3">
    <fb>112.06</fb>
    <v>6</v>
  </rv>
  <rv s="3">
    <fb>45708</fb>
    <v>5</v>
  </rv>
  <rv s="3">
    <fb>106.27</fb>
    <v>6</v>
  </rv>
  <rv s="3">
    <fb>45709</fb>
    <v>5</v>
  </rv>
  <rv s="3">
    <fb>101.35</fb>
    <v>6</v>
  </rv>
  <rv s="3">
    <fb>45712</fb>
    <v>5</v>
  </rv>
  <rv s="3">
    <fb>90.68</fb>
    <v>6</v>
  </rv>
  <rv s="3">
    <fb>45713</fb>
    <v>5</v>
  </rv>
  <rv s="3">
    <fb>87.84</fb>
    <v>6</v>
  </rv>
  <rv s="3">
    <fb>45714</fb>
    <v>5</v>
  </rv>
  <rv s="3">
    <fb>89.31</fb>
    <v>6</v>
  </rv>
  <rv s="3">
    <fb>45715</fb>
    <v>5</v>
  </rv>
  <rv s="3">
    <fb>84.77</fb>
    <v>6</v>
  </rv>
  <rv s="3">
    <fb>45716</fb>
    <v>5</v>
  </rv>
  <rv s="3">
    <fb>84.92</fb>
    <v>6</v>
  </rv>
  <rv s="3">
    <fb>45719</fb>
    <v>5</v>
  </rv>
  <rv s="3">
    <fb>83.42</fb>
    <v>6</v>
  </rv>
  <rv s="3">
    <fb>45720</fb>
    <v>5</v>
  </rv>
  <rv s="3">
    <fb>84.4</fb>
    <v>6</v>
  </rv>
  <rv s="3">
    <fb>45721</fb>
    <v>5</v>
  </rv>
  <rv s="3">
    <fb>90.13</fb>
    <v>6</v>
  </rv>
  <rv s="3">
    <fb>45722</fb>
    <v>5</v>
  </rv>
  <rv s="3">
    <fb>80.459999999999994</fb>
    <v>6</v>
  </rv>
  <rv s="3">
    <fb>45723</fb>
    <v>5</v>
  </rv>
  <rv s="3">
    <fb>84.91</fb>
    <v>6</v>
  </rv>
  <rv s="3">
    <fb>45726</fb>
    <v>5</v>
  </rv>
  <rv s="3">
    <fb>76.38</fb>
    <v>6</v>
  </rv>
  <rv s="3">
    <fb>45727</fb>
    <v>5</v>
  </rv>
  <rv s="3">
    <fb>78.05</fb>
    <v>6</v>
  </rv>
  <rv s="3">
    <fb>45728</fb>
    <v>5</v>
  </rv>
  <rv s="3">
    <fb>83.65</fb>
    <v>6</v>
  </rv>
  <rv s="3">
    <fb>45729</fb>
    <v>5</v>
  </rv>
  <rv s="3">
    <fb>79.62</fb>
    <v>6</v>
  </rv>
  <rv s="3">
    <fb>45730</fb>
    <v>5</v>
  </rv>
  <rv s="3">
    <fb>86.24</fb>
    <v>6</v>
  </rv>
  <rv s="3">
    <fb>45733</fb>
    <v>5</v>
  </rv>
  <rv s="3">
    <fb>87.35</fb>
    <v>6</v>
  </rv>
  <rv s="3">
    <fb>45734</fb>
    <v>5</v>
  </rv>
  <rv s="3">
    <fb>83.89</fb>
    <v>6</v>
  </rv>
  <rv s="3">
    <fb>45735</fb>
    <v>5</v>
  </rv>
  <rv s="3">
    <fb>86.1</fb>
    <v>6</v>
  </rv>
  <rv s="3">
    <fb>45736</fb>
    <v>5</v>
  </rv>
  <rv s="3">
    <fb>87.39</fb>
    <v>6</v>
  </rv>
  <rv s="3">
    <fb>45737</fb>
    <v>5</v>
  </rv>
  <rv s="3">
    <fb>90.96</fb>
    <v>6</v>
  </rv>
  <rv s="3">
    <fb>45740</fb>
    <v>5</v>
  </rv>
  <rv s="3">
    <fb>96.75</fb>
    <v>6</v>
  </rv>
  <rv s="3">
    <fb>45741</fb>
    <v>5</v>
  </rv>
  <rv s="3">
    <fb>96.5</fb>
    <v>6</v>
  </rv>
  <rv s="3">
    <fb>45742</fb>
    <v>5</v>
  </rv>
  <rv s="3">
    <fb>92.28</fb>
    <v>6</v>
  </rv>
  <rv s="3">
    <fb>45743</fb>
    <v>5</v>
  </rv>
  <rv s="3">
    <fb>90.09</fb>
    <v>6</v>
  </rv>
  <rv s="3">
    <fb>45744</fb>
    <v>5</v>
  </rv>
  <rv s="3">
    <fb>85.85</fb>
    <v>6</v>
  </rv>
  <rv s="3">
    <fb>45747</fb>
    <v>5</v>
  </rv>
  <rv s="3">
    <fb>45748</fb>
    <v>5</v>
  </rv>
  <rv s="3">
    <fb>84.68</fb>
    <v>6</v>
  </rv>
  <rv s="3">
    <fb>45749</fb>
    <v>5</v>
  </rv>
  <rv s="3">
    <fb>87.45</fb>
    <v>6</v>
  </rv>
  <rv s="3">
    <fb>45750</fb>
    <v>5</v>
  </rv>
  <rv s="3">
    <fb>83.6</fb>
    <v>6</v>
  </rv>
  <rv s="3">
    <fb>45751</fb>
    <v>5</v>
  </rv>
  <rv s="3">
    <fb>74.010000000000005</fb>
    <v>6</v>
  </rv>
  <rv s="3">
    <fb>45754</fb>
    <v>5</v>
  </rv>
  <rv s="3">
    <fb>77.84</fb>
    <v>6</v>
  </rv>
  <rv s="3">
    <fb>45755</fb>
    <v>5</v>
  </rv>
  <rv s="3">
    <fb>77.319999999999993</fb>
    <v>6</v>
  </rv>
  <rv s="3">
    <fb>45756</fb>
    <v>5</v>
  </rv>
  <rv s="3">
    <fb>92.01</fb>
    <v>6</v>
  </rv>
  <rv s="3">
    <fb>45757</fb>
    <v>5</v>
  </rv>
  <rv s="3">
    <fb>88.59</fb>
    <v>6</v>
  </rv>
  <rv s="3">
    <fb>45758</fb>
    <v>5</v>
  </rv>
  <rv s="3">
    <fb>88.55</fb>
    <v>6</v>
  </rv>
  <rv s="3">
    <fb>45761</fb>
    <v>5</v>
  </rv>
  <rv s="3">
    <fb>92.62</fb>
    <v>6</v>
  </rv>
  <rv s="3">
    <fb>45762</fb>
    <v>5</v>
  </rv>
  <rv s="3">
    <fb>98.4</fb>
    <v>6</v>
  </rv>
  <rv s="3">
    <fb>45763</fb>
    <v>5</v>
  </rv>
  <rv s="3">
    <fb>92.71</fb>
    <v>6</v>
  </rv>
  <rv s="3">
    <fb>45764</fb>
    <v>5</v>
  </rv>
  <rv s="3">
    <fb>93.78</fb>
    <v>6</v>
  </rv>
  <rv s="3">
    <fb>45768</fb>
    <v>5</v>
  </rv>
  <rv s="3">
    <fb>90.8</fb>
    <v>6</v>
  </rv>
  <rv s="3">
    <fb>45769</fb>
    <v>5</v>
  </rv>
  <rv s="3">
    <fb>93.99</fb>
    <v>6</v>
  </rv>
  <rv s="3">
    <fb>45770</fb>
    <v>5</v>
  </rv>
  <rv s="3">
    <fb>100.82</fb>
    <v>6</v>
  </rv>
  <rv s="3">
    <fb>45771</fb>
    <v>5</v>
  </rv>
  <rv s="3">
    <fb>107.78</fb>
    <v>6</v>
  </rv>
  <rv s="3">
    <fb>45772</fb>
    <v>5</v>
  </rv>
  <rv s="3">
    <fb>112.78</fb>
    <v>6</v>
  </rv>
  <rv s="3">
    <fb>45775</fb>
    <v>5</v>
  </rv>
  <rv s="3">
    <fb>114.65</fb>
    <v>6</v>
  </rv>
  <rv s="3">
    <fb>45776</fb>
    <v>5</v>
  </rv>
  <rv s="3">
    <fb>116.08</fb>
    <v>6</v>
  </rv>
  <rv s="3">
    <fb>45777</fb>
    <v>5</v>
  </rv>
  <rv s="3">
    <fb>118.44</fb>
    <v>6</v>
  </rv>
  <rv s="3">
    <fb>45778</fb>
    <v>5</v>
  </rv>
  <rv s="3">
    <fb>116.2</fb>
    <v>6</v>
  </rv>
  <rv s="3">
    <fb>45779</fb>
    <v>5</v>
  </rv>
  <rv s="3">
    <fb>124.28</fb>
    <v>6</v>
  </rv>
  <rv s="3">
    <fb>45782</fb>
    <v>5</v>
  </rv>
  <rv s="3">
    <fb>123.77</fb>
    <v>6</v>
  </rv>
  <rv s="3">
    <fb>45783</fb>
    <v>5</v>
  </rv>
  <rv s="3">
    <fb>108.86</fb>
    <v>6</v>
  </rv>
  <rv s="3">
    <fb>45784</fb>
    <v>5</v>
  </rv>
  <rv s="3">
    <fb>110.48</fb>
    <v>6</v>
  </rv>
  <rv s="3">
    <fb>45785</fb>
    <v>5</v>
  </rv>
  <rv s="3">
    <fb>119.15</fb>
    <v>6</v>
  </rv>
  <rv s="3">
    <fb>45786</fb>
    <v>5</v>
  </rv>
  <rv s="3">
    <fb>117.3</fb>
    <v>6</v>
  </rv>
  <rv s="3">
    <fb>45789</fb>
    <v>5</v>
  </rv>
  <rv s="3">
    <fb>118.46</fb>
    <v>6</v>
  </rv>
  <rv s="3">
    <fb>45790</fb>
    <v>5</v>
  </rv>
  <rv s="3">
    <fb>128.1</fb>
    <v>6</v>
  </rv>
  <rv s="3">
    <fb>45791</fb>
    <v>5</v>
  </rv>
  <rv s="3">
    <fb>130.18</fb>
    <v>6</v>
  </rv>
  <rv s="3">
    <fb>45792</fb>
    <v>5</v>
  </rv>
  <rv s="3">
    <fb>128.12</fb>
    <v>6</v>
  </rv>
  <rv s="3">
    <fb>45793</fb>
    <v>5</v>
  </rv>
  <rv s="3">
    <fb>129.52000000000001</fb>
    <v>6</v>
  </rv>
  <rv s="3">
    <fb>45796</fb>
    <v>5</v>
  </rv>
  <rv s="3">
    <fb>126.33</fb>
    <v>6</v>
  </rv>
  <rv s="3">
    <fb>45797</fb>
    <v>5</v>
  </rv>
  <rv s="3">
    <fb>125.59</fb>
    <v>6</v>
  </rv>
  <rv s="3">
    <fb>45798</fb>
    <v>5</v>
  </rv>
  <rv s="3">
    <fb>120.58</fb>
    <v>6</v>
  </rv>
  <rv s="3">
    <fb>45799</fb>
    <v>5</v>
  </rv>
  <rv s="3">
    <fb>122.29</fb>
    <v>6</v>
  </rv>
  <rv s="3">
    <fb>45800</fb>
    <v>5</v>
  </rv>
  <rv s="3">
    <fb>123.31</fb>
    <v>6</v>
  </rv>
  <rv s="3">
    <fb>45804</fb>
    <v>5</v>
  </rv>
  <rv s="3">
    <fb>123.39</fb>
    <v>6</v>
  </rv>
  <rv s="3">
    <fb>45805</fb>
    <v>5</v>
  </rv>
  <rv s="3">
    <fb>123.76</fb>
    <v>6</v>
  </rv>
  <rv s="3">
    <fb>45806</fb>
    <v>5</v>
  </rv>
  <rv s="3">
    <fb>122.32</fb>
    <v>6</v>
  </rv>
  <rv s="3">
    <fb>45807</fb>
    <v>5</v>
  </rv>
  <rv s="3">
    <fb>131.78</fb>
    <v>6</v>
  </rv>
  <rv s="3">
    <fb>45810</fb>
    <v>5</v>
  </rv>
  <rv s="3">
    <fb>132.04</fb>
    <v>6</v>
  </rv>
  <rv s="3">
    <fb>45811</fb>
    <v>5</v>
  </rv>
  <rv s="3">
    <fb>133.16999999999999</fb>
    <v>6</v>
  </rv>
  <rv s="3">
    <fb>45812</fb>
    <v>5</v>
  </rv>
  <rv s="3">
    <fb>130.01</fb>
    <v>6</v>
  </rv>
  <rv s="3">
    <fb>45813</fb>
    <v>5</v>
  </rv>
  <rv s="3">
    <fb>119.91</fb>
    <v>6</v>
  </rv>
  <rv s="3">
    <fb>45814</fb>
    <v>5</v>
  </rv>
  <rv s="3">
    <fb>127.72</fb>
    <v>6</v>
  </rv>
  <rv s="3">
    <fb>45817</fb>
    <v>5</v>
  </rv>
  <rv s="3">
    <fb>132.06</fb>
    <v>6</v>
  </rv>
  <rv s="3">
    <fb>45818</fb>
    <v>5</v>
  </rv>
  <rv s="3">
    <fb>132.81</fb>
    <v>6</v>
  </rv>
  <rv s="3">
    <fb>45819</fb>
    <v>5</v>
  </rv>
  <rv s="3">
    <fb>136.38999999999999</fb>
    <v>6</v>
  </rv>
  <rv s="3">
    <fb>45820</fb>
    <v>5</v>
  </rv>
  <rv s="3">
    <fb>135.19</fb>
    <v>6</v>
  </rv>
  <rv s="3">
    <fb>45821</fb>
    <v>5</v>
  </rv>
  <rv s="3">
    <fb>137.4</fb>
    <v>6</v>
  </rv>
  <rv s="3">
    <fb>45824</fb>
    <v>5</v>
  </rv>
  <rv s="3">
    <fb>141.41</fb>
    <v>6</v>
  </rv>
  <rv s="3">
    <fb>45825</fb>
    <v>5</v>
  </rv>
  <rv s="3">
    <fb>138.19999999999999</fb>
    <v>6</v>
  </rv>
  <rv s="3">
    <fb>45826</fb>
    <v>5</v>
  </rv>
  <rv s="3">
    <fb>139.96</fb>
    <v>6</v>
  </rv>
  <rv s="3">
    <fb>45828</fb>
    <v>5</v>
  </rv>
  <rv s="3">
    <fb>137.30000000000001</fb>
    <v>6</v>
  </rv>
  <rv s="3">
    <fb>45831</fb>
    <v>5</v>
  </rv>
  <rv s="3">
    <fb>139.91999999999999</fb>
    <v>6</v>
  </rv>
  <rv s="3">
    <fb>45832</fb>
    <v>5</v>
  </rv>
  <rv s="3">
    <fb>143.22999999999999</fb>
    <v>6</v>
  </rv>
  <rv s="3">
    <fb>45833</fb>
    <v>5</v>
  </rv>
  <rv s="3">
    <fb>142.9</fb>
    <v>6</v>
  </rv>
  <rv s="3">
    <fb>45834</fb>
    <v>5</v>
  </rv>
  <rv s="3">
    <fb>144.25</fb>
    <v>6</v>
  </rv>
  <rv s="4">
    <v>7</v>
    <v>PLTR</v>
    <v>Daily</v>
    <v>45470</v>
    <v>45835</v>
    <v>0</v>
    <v>1</v>
    <v>638864928000000000,638866284220196744,0</v>
    <v>0</v>
    <v>bvsk7w</v>
    <v>XNAS:PLTR</v>
    <v>1</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8">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5">
      <v>10</v>
    </spb>
    <spb s="5">
      <v>1</v>
    </spb>
    <spb s="6">
      <v>10</v>
      <v>1</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9" formatCode="m/d/yyyy"/>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7">
      <rpv i="0">0</rpv>
    </rSty>
    <rSty dxfid="0">
      <rpv i="0">0.00</rpv>
    </rSty>
    <rSty dxfid="6"/>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CAF0B-6FE2-4742-ADBE-3C11A8BF1C42}">
  <sheetPr codeName="Sheet1"/>
  <dimension ref="A1:BP711"/>
  <sheetViews>
    <sheetView showGridLines="0" showRowColHeaders="0" tabSelected="1" zoomScale="85" zoomScaleNormal="85" workbookViewId="0">
      <pane ySplit="12" topLeftCell="A13" activePane="bottomLeft" state="frozen"/>
      <selection pane="bottomLeft" activeCell="C5" sqref="C5"/>
    </sheetView>
  </sheetViews>
  <sheetFormatPr defaultRowHeight="14.3" x14ac:dyDescent="0.25"/>
  <cols>
    <col min="1" max="1" width="9.125" style="12"/>
    <col min="2" max="2" width="13.5" bestFit="1" customWidth="1"/>
    <col min="3" max="3" width="9.5" style="5" bestFit="1" customWidth="1"/>
    <col min="4" max="4" width="9" style="5" bestFit="1" customWidth="1"/>
    <col min="5" max="5" width="9.875" style="18" bestFit="1" customWidth="1"/>
    <col min="6" max="6" width="10" style="18" bestFit="1" customWidth="1"/>
    <col min="7" max="7" width="8.5" style="18" bestFit="1" customWidth="1"/>
    <col min="8" max="9" width="11" style="18" bestFit="1" customWidth="1"/>
    <col min="10" max="11" width="10.125" style="9" bestFit="1" customWidth="1"/>
    <col min="12" max="12" width="11.875" style="9" bestFit="1" customWidth="1"/>
    <col min="13" max="13" width="9.5" style="12" bestFit="1" customWidth="1"/>
    <col min="14" max="52" width="9.125" style="12"/>
  </cols>
  <sheetData>
    <row r="1" spans="2:12" s="12" customFormat="1" ht="14.95" thickBot="1" x14ac:dyDescent="0.3">
      <c r="C1" s="13"/>
      <c r="D1" s="13"/>
      <c r="G1" s="14" cm="1">
        <f t="array" aca="1" ref="G1" ca="1">_FV(F2,"Price")</f>
        <v>136.9599</v>
      </c>
      <c r="H1" s="14" t="str" cm="1">
        <f t="array" aca="1" ref="H1" ca="1">_FV(F2,"Ticker symbol",TRUE)</f>
        <v>PLTR</v>
      </c>
    </row>
    <row r="2" spans="2:12" ht="14.95" thickTop="1" x14ac:dyDescent="0.25">
      <c r="B2" t="s">
        <v>5</v>
      </c>
      <c r="C2" s="4">
        <f ca="1">G1</f>
        <v>136.9599</v>
      </c>
      <c r="D2" s="15" t="s">
        <v>21</v>
      </c>
      <c r="E2" s="6"/>
      <c r="F2" t="e" vm="1">
        <v>#VALUE!</v>
      </c>
      <c r="G2" s="6"/>
      <c r="H2"/>
      <c r="I2"/>
      <c r="J2"/>
      <c r="K2"/>
      <c r="L2"/>
    </row>
    <row r="3" spans="2:12" x14ac:dyDescent="0.25">
      <c r="B3" t="s">
        <v>6</v>
      </c>
      <c r="C3" s="1">
        <v>0.04</v>
      </c>
      <c r="D3" t="s">
        <v>20</v>
      </c>
      <c r="E3"/>
      <c r="F3"/>
      <c r="G3"/>
      <c r="H3"/>
      <c r="I3"/>
      <c r="J3"/>
      <c r="K3"/>
      <c r="L3"/>
    </row>
    <row r="4" spans="2:12" x14ac:dyDescent="0.25">
      <c r="B4" t="s">
        <v>7</v>
      </c>
      <c r="C4" s="1">
        <v>0</v>
      </c>
      <c r="D4" t="s">
        <v>24</v>
      </c>
      <c r="E4"/>
      <c r="F4"/>
      <c r="G4"/>
      <c r="H4"/>
      <c r="I4"/>
      <c r="J4"/>
      <c r="K4"/>
      <c r="L4"/>
    </row>
    <row r="5" spans="2:12" x14ac:dyDescent="0.25">
      <c r="B5" t="s">
        <v>9</v>
      </c>
      <c r="C5" s="1">
        <f ca="1">_xlfn.STDEV.S(O253:O500)*SQRT(COUNT(O253:O500))</f>
        <v>0.7032013998512735</v>
      </c>
      <c r="D5" t="s">
        <v>23</v>
      </c>
      <c r="E5"/>
      <c r="F5"/>
      <c r="G5"/>
      <c r="H5"/>
      <c r="I5"/>
      <c r="J5"/>
      <c r="K5"/>
      <c r="L5"/>
    </row>
    <row r="6" spans="2:12" ht="14.95" thickBot="1" x14ac:dyDescent="0.3">
      <c r="B6" t="s">
        <v>8</v>
      </c>
      <c r="C6" s="2">
        <v>1</v>
      </c>
      <c r="D6" t="s">
        <v>19</v>
      </c>
      <c r="E6"/>
      <c r="F6"/>
      <c r="G6"/>
      <c r="H6"/>
      <c r="I6"/>
      <c r="J6"/>
      <c r="K6"/>
      <c r="L6"/>
    </row>
    <row r="7" spans="2:12" x14ac:dyDescent="0.25">
      <c r="D7"/>
      <c r="E7"/>
      <c r="F7"/>
      <c r="G7" s="3"/>
      <c r="H7"/>
      <c r="I7"/>
      <c r="J7"/>
      <c r="K7"/>
      <c r="L7"/>
    </row>
    <row r="8" spans="2:12" x14ac:dyDescent="0.25">
      <c r="B8" t="s">
        <v>18</v>
      </c>
      <c r="C8"/>
      <c r="D8"/>
      <c r="E8"/>
      <c r="F8"/>
      <c r="G8"/>
      <c r="H8"/>
      <c r="I8"/>
      <c r="J8" s="19"/>
      <c r="K8"/>
      <c r="L8"/>
    </row>
    <row r="9" spans="2:12" x14ac:dyDescent="0.25">
      <c r="B9" t="s">
        <v>22</v>
      </c>
      <c r="C9"/>
      <c r="D9"/>
      <c r="E9"/>
      <c r="F9"/>
      <c r="G9" s="3"/>
      <c r="H9"/>
      <c r="I9"/>
      <c r="J9"/>
      <c r="K9"/>
      <c r="L9"/>
    </row>
    <row r="10" spans="2:12" x14ac:dyDescent="0.25">
      <c r="C10"/>
      <c r="D10"/>
      <c r="E10"/>
      <c r="F10"/>
      <c r="G10"/>
      <c r="H10"/>
      <c r="I10"/>
      <c r="J10"/>
      <c r="K10"/>
      <c r="L10"/>
    </row>
    <row r="11" spans="2:12" x14ac:dyDescent="0.25">
      <c r="C11"/>
      <c r="D11"/>
      <c r="E11"/>
      <c r="F11"/>
      <c r="G11"/>
      <c r="H11"/>
      <c r="I11"/>
      <c r="J11"/>
      <c r="K11"/>
      <c r="L11"/>
    </row>
    <row r="12" spans="2:12" ht="25" customHeight="1" x14ac:dyDescent="0.25">
      <c r="B12" s="8" t="s">
        <v>0</v>
      </c>
      <c r="C12" s="8" t="s">
        <v>10</v>
      </c>
      <c r="D12" s="8" t="s">
        <v>11</v>
      </c>
      <c r="E12" s="8" t="s">
        <v>12</v>
      </c>
      <c r="F12" s="8" t="s">
        <v>13</v>
      </c>
      <c r="G12" s="8" t="s">
        <v>3</v>
      </c>
      <c r="H12" s="8" t="s">
        <v>14</v>
      </c>
      <c r="I12" s="8" t="s">
        <v>15</v>
      </c>
      <c r="J12" s="8" t="s">
        <v>4</v>
      </c>
      <c r="K12" s="8" t="s">
        <v>16</v>
      </c>
      <c r="L12" s="8" t="s">
        <v>17</v>
      </c>
    </row>
    <row r="13" spans="2:12" x14ac:dyDescent="0.25">
      <c r="B13" s="7">
        <v>82</v>
      </c>
      <c r="C13" s="10" cm="1">
        <f t="array" aca="1" ref="C13" ca="1">OptionPriceC($C$2,B13,$C$3,$C$4,$C$5,$C$6)</f>
        <v>66.84958171820989</v>
      </c>
      <c r="D13" s="10" cm="1">
        <f t="array" aca="1" ref="D13" ca="1">OptionPriceP($C$2,B13,$C$3,$C$4,$C$5,$C$6)</f>
        <v>8.674415728700378</v>
      </c>
      <c r="E13" s="17" cm="1">
        <f t="array" aca="1" ref="E13" ca="1">ODeltac($C$2,B13,$C$3,$C$4,$C$5,$C$6)</f>
        <v>0.87243139972415085</v>
      </c>
      <c r="F13" s="17" cm="1">
        <f t="array" aca="1" ref="F13" ca="1">ODeltaP($C$2,B13,$C$3,$C$4,$C$5,$C$6)</f>
        <v>-0.12756860027584915</v>
      </c>
      <c r="G13" s="17" cm="1">
        <f t="array" aca="1" ref="G13" ca="1">OGamma($C$2,B13,$C$3,$C$4,$C$5,$C$6)</f>
        <v>2.1679110759182836E-3</v>
      </c>
      <c r="H13" s="17" cm="1">
        <f t="array" aca="1" ref="H13" ca="1">OThetaC($C$2,B13,$C$3,$C$4,$C$5,$C$6)</f>
        <v>-12.159979000851589</v>
      </c>
      <c r="I13" s="17" cm="1">
        <f t="array" aca="1" ref="I13" ca="1">OThetaP($C$2,B13,$C$3,$C$4,$C$5,$C$6)</f>
        <v>-9.0085896404319694</v>
      </c>
      <c r="J13" s="11" cm="1">
        <f t="array" aca="1" ref="J13" ca="1">OVega($C$2,B13,$C$3,$C$4,$C$5,$C$6)</f>
        <v>0.2859618192222968</v>
      </c>
      <c r="K13" s="11" cm="1">
        <f t="array" aca="1" ref="K13" ca="1">ORhoC($C$2,B13,$C$3,$C$4,$C$5,$C$6)</f>
        <v>0.52638535544869847</v>
      </c>
      <c r="L13" s="11" cm="1">
        <f t="array" aca="1" ref="L13" ca="1">ORhop($C$2,B13,$C$3,$C$4,$C$5,$C$6)</f>
        <v>-0.26146198465620651</v>
      </c>
    </row>
    <row r="14" spans="2:12" x14ac:dyDescent="0.25">
      <c r="B14" s="7">
        <v>83</v>
      </c>
      <c r="C14" s="10" cm="1">
        <f t="array" aca="1" ref="C14" ca="1">OptionPriceC($C$2,B14,$C$3,$C$4,$C$5,$C$6)</f>
        <v>66.210667532273419</v>
      </c>
      <c r="D14" s="10" cm="1">
        <f t="array" aca="1" ref="D14" ca="1">OptionPriceP($C$2,B14,$C$3,$C$4,$C$5,$C$6)</f>
        <v>8.9962909819162356</v>
      </c>
      <c r="E14" s="17" cm="1">
        <f t="array" aca="1" ref="E14" ca="1">ODeltac($C$2,B14,$C$3,$C$4,$C$5,$C$6)</f>
        <v>0.86879701366263351</v>
      </c>
      <c r="F14" s="17" cm="1">
        <f t="array" aca="1" ref="F14" ca="1">ODeltaP($C$2,B14,$C$3,$C$4,$C$5,$C$6)</f>
        <v>-0.13120298633736649</v>
      </c>
      <c r="G14" s="17" cm="1">
        <f t="array" aca="1" ref="G14" ca="1">OGamma($C$2,B14,$C$3,$C$4,$C$5,$C$6)</f>
        <v>2.2105270427208389E-3</v>
      </c>
      <c r="H14" s="17" cm="1">
        <f t="array" aca="1" ref="H14" ca="1">OThetaC($C$2,B14,$C$3,$C$4,$C$5,$C$6)</f>
        <v>-12.36327125078906</v>
      </c>
      <c r="I14" s="17" cm="1">
        <f t="array" aca="1" ref="I14" ca="1">OThetaP($C$2,B14,$C$3,$C$4,$C$5,$C$6)</f>
        <v>-9.1734503128033467</v>
      </c>
      <c r="J14" s="11" cm="1">
        <f t="array" aca="1" ref="J14" ca="1">OVega($C$2,B14,$C$3,$C$4,$C$5,$C$6)</f>
        <v>0.29158314729711821</v>
      </c>
      <c r="K14" s="11" cm="1">
        <f t="array" aca="1" ref="K14" ca="1">ORhoC($C$2,B14,$C$3,$C$4,$C$5,$C$6)</f>
        <v>0.527796845792595</v>
      </c>
      <c r="L14" s="11" cm="1">
        <f t="array" aca="1" ref="L14" ca="1">ORhop($C$2,B14,$C$3,$C$4,$C$5,$C$6)</f>
        <v>-0.26965838870383319</v>
      </c>
    </row>
    <row r="15" spans="2:12" x14ac:dyDescent="0.25">
      <c r="B15" s="7">
        <v>84</v>
      </c>
      <c r="C15" s="10" cm="1">
        <f t="array" aca="1" ref="C15" ca="1">OptionPriceC($C$2,B15,$C$3,$C$4,$C$5,$C$6)</f>
        <v>65.577772270684775</v>
      </c>
      <c r="D15" s="10" cm="1">
        <f t="array" aca="1" ref="D15" ca="1">OptionPriceP($C$2,B15,$C$3,$C$4,$C$5,$C$6)</f>
        <v>9.3241851594799279</v>
      </c>
      <c r="E15" s="17" cm="1">
        <f t="array" aca="1" ref="E15" ca="1">ODeltac($C$2,B15,$C$3,$C$4,$C$5,$C$6)</f>
        <v>0.86513653263990364</v>
      </c>
      <c r="F15" s="17" cm="1">
        <f t="array" aca="1" ref="F15" ca="1">ODeltaP($C$2,B15,$C$3,$C$4,$C$5,$C$6)</f>
        <v>-0.13486346736009636</v>
      </c>
      <c r="G15" s="17" cm="1">
        <f t="array" aca="1" ref="G15" ca="1">OGamma($C$2,B15,$C$3,$C$4,$C$5,$C$6)</f>
        <v>2.2527978133181021E-3</v>
      </c>
      <c r="H15" s="17" cm="1">
        <f t="array" aca="1" ref="H15" ca="1">OThetaC($C$2,B15,$C$3,$C$4,$C$5,$C$6)</f>
        <v>-12.564578818402699</v>
      </c>
      <c r="I15" s="17" cm="1">
        <f t="array" aca="1" ref="I15" ca="1">OThetaP($C$2,B15,$C$3,$C$4,$C$5,$C$6)</f>
        <v>-9.3363263028508925</v>
      </c>
      <c r="J15" s="11" cm="1">
        <f t="array" aca="1" ref="J15" ca="1">OVega($C$2,B15,$C$3,$C$4,$C$5,$C$6)</f>
        <v>0.29715894170778223</v>
      </c>
      <c r="K15" s="11" cm="1">
        <f t="array" aca="1" ref="K15" ca="1">ORhoC($C$2,B15,$C$3,$C$4,$C$5,$C$6)</f>
        <v>0.52911240726023168</v>
      </c>
      <c r="L15" s="11" cm="1">
        <f t="array" aca="1" ref="L15" ca="1">ORhop($C$2,B15,$C$3,$C$4,$C$5,$C$6)</f>
        <v>-0.27795072162771989</v>
      </c>
    </row>
    <row r="16" spans="2:12" x14ac:dyDescent="0.25">
      <c r="B16" s="7">
        <v>85</v>
      </c>
      <c r="C16" s="10" cm="1">
        <f t="array" aca="1" ref="C16" ca="1">OptionPriceC($C$2,B16,$C$3,$C$4,$C$5,$C$6)</f>
        <v>64.950865857081723</v>
      </c>
      <c r="D16" s="10" cm="1">
        <f t="array" aca="1" ref="D16" ca="1">OptionPriceP($C$2,B16,$C$3,$C$4,$C$5,$C$6)</f>
        <v>9.6580681850291903</v>
      </c>
      <c r="E16" s="17" cm="1">
        <f t="array" aca="1" ref="E16" ca="1">ODeltac($C$2,B16,$C$3,$C$4,$C$5,$C$6)</f>
        <v>0.86145114607899065</v>
      </c>
      <c r="F16" s="17" cm="1">
        <f t="array" aca="1" ref="F16" ca="1">ODeltaP($C$2,B16,$C$3,$C$4,$C$5,$C$6)</f>
        <v>-0.13854885392100935</v>
      </c>
      <c r="G16" s="17" cm="1">
        <f t="array" aca="1" ref="G16" ca="1">OGamma($C$2,B16,$C$3,$C$4,$C$5,$C$6)</f>
        <v>2.2947083839808392E-3</v>
      </c>
      <c r="H16" s="17" cm="1">
        <f t="array" aca="1" ref="H16" ca="1">OThetaC($C$2,B16,$C$3,$C$4,$C$5,$C$6)</f>
        <v>-12.763839837892666</v>
      </c>
      <c r="I16" s="17" cm="1">
        <f t="array" aca="1" ref="I16" ca="1">OThetaP($C$2,B16,$C$3,$C$4,$C$5,$C$6)</f>
        <v>-9.4971557447747674</v>
      </c>
      <c r="J16" s="11" cm="1">
        <f t="array" aca="1" ref="J16" ca="1">OVega($C$2,B16,$C$3,$C$4,$C$5,$C$6)</f>
        <v>0.30268722336310072</v>
      </c>
      <c r="K16" s="11" cm="1">
        <f t="array" aca="1" ref="K16" ca="1">ORhoC($C$2,B16,$C$3,$C$4,$C$5,$C$6)</f>
        <v>0.53033396964782231</v>
      </c>
      <c r="L16" s="11" cm="1">
        <f t="array" aca="1" ref="L16" ca="1">ORhop($C$2,B16,$C$3,$C$4,$C$5,$C$6)</f>
        <v>-0.28633705363165246</v>
      </c>
    </row>
    <row r="17" spans="2:68" x14ac:dyDescent="0.25">
      <c r="B17" s="7">
        <v>86</v>
      </c>
      <c r="C17" s="10" cm="1">
        <f t="array" aca="1" ref="C17" ca="1">OptionPriceC($C$2,B17,$C$3,$C$4,$C$5,$C$6)</f>
        <v>64.329917020852747</v>
      </c>
      <c r="D17" s="10" cm="1">
        <f t="array" aca="1" ref="D17" ca="1">OptionPriceP($C$2,B17,$C$3,$C$4,$C$5,$C$6)</f>
        <v>9.9979087879525359</v>
      </c>
      <c r="E17" s="17" cm="1">
        <f t="array" aca="1" ref="E17" ca="1">ODeltac($C$2,B17,$C$3,$C$4,$C$5,$C$6)</f>
        <v>0.85774202505476504</v>
      </c>
      <c r="F17" s="17" cm="1">
        <f t="array" aca="1" ref="F17" ca="1">ODeltaP($C$2,B17,$C$3,$C$4,$C$5,$C$6)</f>
        <v>-0.14225797494523496</v>
      </c>
      <c r="G17" s="17" cm="1">
        <f t="array" aca="1" ref="G17" ca="1">OGamma($C$2,B17,$C$3,$C$4,$C$5,$C$6)</f>
        <v>2.3362445571085228E-3</v>
      </c>
      <c r="H17" s="17" cm="1">
        <f t="array" aca="1" ref="H17" ca="1">OThetaC($C$2,B17,$C$3,$C$4,$C$5,$C$6)</f>
        <v>-12.960996129411365</v>
      </c>
      <c r="I17" s="17" cm="1">
        <f t="array" aca="1" ref="I17" ca="1">OThetaP($C$2,B17,$C$3,$C$4,$C$5,$C$6)</f>
        <v>-9.6558804587273741</v>
      </c>
      <c r="J17" s="11" cm="1">
        <f t="array" aca="1" ref="J17" ca="1">OVega($C$2,B17,$C$3,$C$4,$C$5,$C$6)</f>
        <v>0.30816611950559752</v>
      </c>
      <c r="K17" s="11" cm="1">
        <f t="array" aca="1" ref="K17" ca="1">ORhoC($C$2,B17,$C$3,$C$4,$C$5,$C$6)</f>
        <v>0.53146344956445379</v>
      </c>
      <c r="L17" s="11" cm="1">
        <f t="array" aca="1" ref="L17" ca="1">ORhop($C$2,B17,$C$3,$C$4,$C$5,$C$6)</f>
        <v>-0.29481546810654424</v>
      </c>
    </row>
    <row r="18" spans="2:68" x14ac:dyDescent="0.25">
      <c r="B18" s="7">
        <v>87</v>
      </c>
      <c r="C18" s="10" cm="1">
        <f t="array" aca="1" ref="C18" ca="1">OptionPriceC($C$2,B18,$C$3,$C$4,$C$5,$C$6)</f>
        <v>63.714893368358027</v>
      </c>
      <c r="D18" s="10" cm="1">
        <f t="array" aca="1" ref="D18" ca="1">OptionPriceP($C$2,B18,$C$3,$C$4,$C$5,$C$6)</f>
        <v>10.343674574610141</v>
      </c>
      <c r="E18" s="17" cm="1">
        <f t="array" aca="1" ref="E18" ca="1">ODeltac($C$2,B18,$C$3,$C$4,$C$5,$C$6)</f>
        <v>0.8540103218827173</v>
      </c>
      <c r="F18" s="17" cm="1">
        <f t="array" aca="1" ref="F18" ca="1">ODeltaP($C$2,B18,$C$3,$C$4,$C$5,$C$6)</f>
        <v>-0.1459896781172827</v>
      </c>
      <c r="G18" s="17" cm="1">
        <f t="array" aca="1" ref="G18" ca="1">OGamma($C$2,B18,$C$3,$C$4,$C$5,$C$6)</f>
        <v>2.3773929200448718E-3</v>
      </c>
      <c r="H18" s="17" cm="1">
        <f t="array" aca="1" ref="H18" ca="1">OThetaC($C$2,B18,$C$3,$C$4,$C$5,$C$6)</f>
        <v>-13.155993095711498</v>
      </c>
      <c r="I18" s="17" cm="1">
        <f t="array" aca="1" ref="I18" ca="1">OThetaP($C$2,B18,$C$3,$C$4,$C$5,$C$6)</f>
        <v>-9.8124458474614134</v>
      </c>
      <c r="J18" s="11" cm="1">
        <f t="array" aca="1" ref="J18" ca="1">OVega($C$2,B18,$C$3,$C$4,$C$5,$C$6)</f>
        <v>0.31359386091713737</v>
      </c>
      <c r="K18" s="11" cm="1">
        <f t="array" aca="1" ref="K18" ca="1">ORhoC($C$2,B18,$C$3,$C$4,$C$5,$C$6)</f>
        <v>0.53250274915666762</v>
      </c>
      <c r="L18" s="11" cm="1">
        <f t="array" aca="1" ref="L18" ca="1">ORhop($C$2,B18,$C$3,$C$4,$C$5,$C$6)</f>
        <v>-0.30338406290585368</v>
      </c>
    </row>
    <row r="19" spans="2:68" x14ac:dyDescent="0.25">
      <c r="B19" s="7">
        <v>88</v>
      </c>
      <c r="C19" s="10" cm="1">
        <f t="array" aca="1" ref="C19" ca="1">OptionPriceC($C$2,B19,$C$3,$C$4,$C$5,$C$6)</f>
        <v>63.105761451477754</v>
      </c>
      <c r="D19" s="10" cm="1">
        <f t="array" aca="1" ref="D19" ca="1">OptionPriceP($C$2,B19,$C$3,$C$4,$C$5,$C$6)</f>
        <v>10.695332096882176</v>
      </c>
      <c r="E19" s="17" cm="1">
        <f t="array" aca="1" ref="E19" ca="1">ODeltac($C$2,B19,$C$3,$C$4,$C$5,$C$6)</f>
        <v>0.85025716976450383</v>
      </c>
      <c r="F19" s="17" cm="1">
        <f t="array" aca="1" ref="F19" ca="1">ODeltaP($C$2,B19,$C$3,$C$4,$C$5,$C$6)</f>
        <v>-0.14974283023549617</v>
      </c>
      <c r="G19" s="17" cm="1">
        <f t="array" aca="1" ref="G19" ca="1">OGamma($C$2,B19,$C$3,$C$4,$C$5,$C$6)</f>
        <v>2.4181408237683999E-3</v>
      </c>
      <c r="H19" s="17" cm="1">
        <f t="array" aca="1" ref="H19" ca="1">OThetaC($C$2,B19,$C$3,$C$4,$C$5,$C$6)</f>
        <v>-13.348779618632355</v>
      </c>
      <c r="I19" s="17" cm="1">
        <f t="array" aca="1" ref="I19" ca="1">OThetaP($C$2,B19,$C$3,$C$4,$C$5,$C$6)</f>
        <v>-9.9668007928161781</v>
      </c>
      <c r="J19" s="11" cm="1">
        <f t="array" aca="1" ref="J19" ca="1">OVega($C$2,B19,$C$3,$C$4,$C$5,$C$6)</f>
        <v>0.31896877910806892</v>
      </c>
      <c r="K19" s="11" cm="1">
        <f t="array" aca="1" ref="K19" ca="1">ORhoC($C$2,B19,$C$3,$C$4,$C$5,$C$6)</f>
        <v>0.53345375493751723</v>
      </c>
      <c r="L19" s="11" cm="1">
        <f t="array" aca="1" ref="L19" ca="1">ORhop($C$2,B19,$C$3,$C$4,$C$5,$C$6)</f>
        <v>-0.31204095151652717</v>
      </c>
    </row>
    <row r="20" spans="2:68" x14ac:dyDescent="0.25">
      <c r="B20" s="7">
        <v>89</v>
      </c>
      <c r="C20" s="10" cm="1">
        <f t="array" aca="1" ref="C20" ca="1">OptionPriceC($C$2,B20,$C$3,$C$4,$C$5,$C$6)</f>
        <v>62.502486833554315</v>
      </c>
      <c r="D20" s="10" cm="1">
        <f t="array" aca="1" ref="D20" ca="1">OptionPriceP($C$2,B20,$C$3,$C$4,$C$5,$C$6)</f>
        <v>11.052846918111079</v>
      </c>
      <c r="E20" s="17" cm="1">
        <f t="array" aca="1" ref="E20" ca="1">ODeltac($C$2,B20,$C$3,$C$4,$C$5,$C$6)</f>
        <v>0.84648368248655181</v>
      </c>
      <c r="F20" s="17" cm="1">
        <f t="array" aca="1" ref="F20" ca="1">ODeltaP($C$2,B20,$C$3,$C$4,$C$5,$C$6)</f>
        <v>-0.15351631751344819</v>
      </c>
      <c r="G20" s="17" cm="1">
        <f t="array" aca="1" ref="G20" ca="1">OGamma($C$2,B20,$C$3,$C$4,$C$5,$C$6)</f>
        <v>2.4584763615266708E-3</v>
      </c>
      <c r="H20" s="17" cm="1">
        <f t="array" aca="1" ref="H20" ca="1">OThetaC($C$2,B20,$C$3,$C$4,$C$5,$C$6)</f>
        <v>-13.539307955719911</v>
      </c>
      <c r="I20" s="17" cm="1">
        <f t="array" aca="1" ref="I20" ca="1">OThetaP($C$2,B20,$C$3,$C$4,$C$5,$C$6)</f>
        <v>-10.118897552337641</v>
      </c>
      <c r="J20" s="11" cm="1">
        <f t="array" aca="1" ref="J20" ca="1">OVega($C$2,B20,$C$3,$C$4,$C$5,$C$6)</f>
        <v>0.32428930349894097</v>
      </c>
      <c r="K20" s="11" cm="1">
        <f t="array" aca="1" ref="K20" ca="1">ORhoC($C$2,B20,$C$3,$C$4,$C$5,$C$6)</f>
        <v>0.5343183367143558</v>
      </c>
      <c r="L20" s="11" cm="1">
        <f t="array" aca="1" ref="L20" ca="1">ORhop($C$2,B20,$C$3,$C$4,$C$5,$C$6)</f>
        <v>-0.32078426413121186</v>
      </c>
    </row>
    <row r="21" spans="2:68" x14ac:dyDescent="0.25">
      <c r="B21" s="7">
        <v>90</v>
      </c>
      <c r="C21" s="10" cm="1">
        <f t="array" aca="1" ref="C21" ca="1">OptionPriceC($C$2,B21,$C$3,$C$4,$C$5,$C$6)</f>
        <v>61.905034152796219</v>
      </c>
      <c r="D21" s="10" cm="1">
        <f t="array" aca="1" ref="D21" ca="1">OptionPriceP($C$2,B21,$C$3,$C$4,$C$5,$C$6)</f>
        <v>11.416183676505309</v>
      </c>
      <c r="E21" s="17" cm="1">
        <f t="array" aca="1" ref="E21" ca="1">ODeltac($C$2,B21,$C$3,$C$4,$C$5,$C$6)</f>
        <v>0.84269095416820539</v>
      </c>
      <c r="F21" s="17" cm="1">
        <f t="array" aca="1" ref="F21" ca="1">ODeltaP($C$2,B21,$C$3,$C$4,$C$5,$C$6)</f>
        <v>-0.15730904583179461</v>
      </c>
      <c r="G21" s="17" cm="1">
        <f t="array" aca="1" ref="G21" ca="1">OGamma($C$2,B21,$C$3,$C$4,$C$5,$C$6)</f>
        <v>2.4983883474761839E-3</v>
      </c>
      <c r="H21" s="17" cm="1">
        <f t="array" aca="1" ref="H21" ca="1">OThetaC($C$2,B21,$C$3,$C$4,$C$5,$C$6)</f>
        <v>-13.727533637246013</v>
      </c>
      <c r="I21" s="17" cm="1">
        <f t="array" aca="1" ref="I21" ca="1">OThetaP($C$2,B21,$C$3,$C$4,$C$5,$C$6)</f>
        <v>-10.26869165629765</v>
      </c>
      <c r="J21" s="11" cm="1">
        <f t="array" aca="1" ref="J21" ca="1">OVega($C$2,B21,$C$3,$C$4,$C$5,$C$6)</f>
        <v>0.32955395860296222</v>
      </c>
      <c r="K21" s="11" cm="1">
        <f t="array" aca="1" ref="K21" ca="1">ORhoC($C$2,B21,$C$3,$C$4,$C$5,$C$6)</f>
        <v>0.53509834660985778</v>
      </c>
      <c r="L21" s="11" cm="1">
        <f t="array" aca="1" ref="L21" ca="1">ORhop($C$2,B21,$C$3,$C$4,$C$5,$C$6)</f>
        <v>-0.32961214862723315</v>
      </c>
    </row>
    <row r="22" spans="2:68" x14ac:dyDescent="0.25">
      <c r="B22" s="7">
        <v>91</v>
      </c>
      <c r="C22" s="10" cm="1">
        <f t="array" aca="1" ref="C22" ca="1">OptionPriceC($C$2,B22,$C$3,$C$4,$C$5,$C$6)</f>
        <v>61.313367183211291</v>
      </c>
      <c r="D22" s="10" cm="1">
        <f t="array" aca="1" ref="D22" ca="1">OptionPriceP($C$2,B22,$C$3,$C$4,$C$5,$C$6)</f>
        <v>11.785306146072678</v>
      </c>
      <c r="E22" s="17" cm="1">
        <f t="array" aca="1" ref="E22" ca="1">ODeltac($C$2,B22,$C$3,$C$4,$C$5,$C$6)</f>
        <v>0.83888005905607255</v>
      </c>
      <c r="F22" s="17" cm="1">
        <f t="array" aca="1" ref="F22" ca="1">ODeltaP($C$2,B22,$C$3,$C$4,$C$5,$C$6)</f>
        <v>-0.16111994094392745</v>
      </c>
      <c r="G22" s="17" cm="1">
        <f t="array" aca="1" ref="G22" ca="1">OGamma($C$2,B22,$C$3,$C$4,$C$5,$C$6)</f>
        <v>2.5378662953835828E-3</v>
      </c>
      <c r="H22" s="17" cm="1">
        <f t="array" aca="1" ref="H22" ca="1">OThetaC($C$2,B22,$C$3,$C$4,$C$5,$C$6)</f>
        <v>-13.913415363863891</v>
      </c>
      <c r="I22" s="17" cm="1">
        <f t="array" aca="1" ref="I22" ca="1">OThetaP($C$2,B22,$C$3,$C$4,$C$5,$C$6)</f>
        <v>-10.416141805349433</v>
      </c>
      <c r="J22" s="11" cm="1">
        <f t="array" aca="1" ref="J22" ca="1">OVega($C$2,B22,$C$3,$C$4,$C$5,$C$6)</f>
        <v>0.33476136121655004</v>
      </c>
      <c r="K22" s="11" cm="1">
        <f t="array" aca="1" ref="K22" ca="1">ORhoC($C$2,B22,$C$3,$C$4,$C$5,$C$6)</f>
        <v>0.53579561817102506</v>
      </c>
      <c r="L22" s="11" cm="1">
        <f t="array" aca="1" ref="L22" ca="1">ORhop($C$2,B22,$C$3,$C$4,$C$5,$C$6)</f>
        <v>-0.33852277145758897</v>
      </c>
    </row>
    <row r="23" spans="2:68" x14ac:dyDescent="0.25">
      <c r="B23" s="7">
        <v>92</v>
      </c>
      <c r="C23" s="10" cm="1">
        <f t="array" aca="1" ref="C23" ca="1">OptionPriceC($C$2,B23,$C$3,$C$4,$C$5,$C$6)</f>
        <v>60.727448893138217</v>
      </c>
      <c r="D23" s="10" cm="1">
        <f t="array" aca="1" ref="D23" ca="1">OptionPriceP($C$2,B23,$C$3,$C$4,$C$5,$C$6)</f>
        <v>12.160177295151946</v>
      </c>
      <c r="E23" s="17" cm="1">
        <f t="array" aca="1" ref="E23" ca="1">ODeltac($C$2,B23,$C$3,$C$4,$C$5,$C$6)</f>
        <v>0.83505205136141858</v>
      </c>
      <c r="F23" s="17" cm="1">
        <f t="array" aca="1" ref="F23" ca="1">ODeltaP($C$2,B23,$C$3,$C$4,$C$5,$C$6)</f>
        <v>-0.16494794863858142</v>
      </c>
      <c r="G23" s="17" cm="1">
        <f t="array" aca="1" ref="G23" ca="1">OGamma($C$2,B23,$C$3,$C$4,$C$5,$C$6)</f>
        <v>2.5769003974380517E-3</v>
      </c>
      <c r="H23" s="17" cm="1">
        <f t="array" aca="1" ref="H23" ca="1">OThetaC($C$2,B23,$C$3,$C$4,$C$5,$C$6)</f>
        <v>-14.096914905111207</v>
      </c>
      <c r="I23" s="17" cm="1">
        <f t="array" aca="1" ref="I23" ca="1">OThetaP($C$2,B23,$C$3,$C$4,$C$5,$C$6)</f>
        <v>-10.561209769030658</v>
      </c>
      <c r="J23" s="11" cm="1">
        <f t="array" aca="1" ref="J23" ca="1">OVega($C$2,B23,$C$3,$C$4,$C$5,$C$6)</f>
        <v>0.33991021762454482</v>
      </c>
      <c r="K23" s="11" cm="1">
        <f t="array" aca="1" ref="K23" ca="1">ORhoC($C$2,B23,$C$3,$C$4,$C$5,$C$6)</f>
        <v>0.53641196556116544</v>
      </c>
      <c r="L23" s="11" cm="1">
        <f t="array" aca="1" ref="L23" ca="1">ORhop($C$2,B23,$C$3,$C$4,$C$5,$C$6)</f>
        <v>-0.3475143184589719</v>
      </c>
    </row>
    <row r="24" spans="2:68" x14ac:dyDescent="0.25">
      <c r="B24" s="7">
        <v>93</v>
      </c>
      <c r="C24" s="10" cm="1">
        <f t="array" aca="1" ref="C24" ca="1">OptionPriceC($C$2,B24,$C$3,$C$4,$C$5,$C$6)</f>
        <v>60.147241501445265</v>
      </c>
      <c r="D24" s="10" cm="1">
        <f t="array" aca="1" ref="D24" ca="1">OptionPriceP($C$2,B24,$C$3,$C$4,$C$5,$C$6)</f>
        <v>12.540759342611306</v>
      </c>
      <c r="E24" s="17" cm="1">
        <f t="array" aca="1" ref="E24" ca="1">ODeltac($C$2,B24,$C$3,$C$4,$C$5,$C$6)</f>
        <v>0.83120796513761219</v>
      </c>
      <c r="F24" s="17" cm="1">
        <f t="array" aca="1" ref="F24" ca="1">ODeltaP($C$2,B24,$C$3,$C$4,$C$5,$C$6)</f>
        <v>-0.16879203486238781</v>
      </c>
      <c r="G24" s="17" cm="1">
        <f t="array" aca="1" ref="G24" ca="1">OGamma($C$2,B24,$C$3,$C$4,$C$5,$C$6)</f>
        <v>2.6154815032194967E-3</v>
      </c>
      <c r="H24" s="17" cm="1">
        <f t="array" aca="1" ref="H24" ca="1">OThetaC($C$2,B24,$C$3,$C$4,$C$5,$C$6)</f>
        <v>-14.277996998948407</v>
      </c>
      <c r="I24" s="17" cm="1">
        <f t="array" aca="1" ref="I24" ca="1">OThetaP($C$2,B24,$C$3,$C$4,$C$5,$C$6)</f>
        <v>-10.703860285301765</v>
      </c>
      <c r="J24" s="11" cm="1">
        <f t="array" aca="1" ref="J24" ca="1">OVega($C$2,B24,$C$3,$C$4,$C$5,$C$6)</f>
        <v>0.34499932082597418</v>
      </c>
      <c r="K24" s="11" cm="1">
        <f t="array" aca="1" ref="K24" ca="1">ORhoC($C$2,B24,$C$3,$C$4,$C$5,$C$6)</f>
        <v>0.53694918283005588</v>
      </c>
      <c r="L24" s="11" cm="1">
        <f t="array" aca="1" ref="L24" ca="1">ORhop($C$2,B24,$C$3,$C$4,$C$5,$C$6)</f>
        <v>-0.35658499558160456</v>
      </c>
      <c r="BP24" t="s">
        <v>1</v>
      </c>
    </row>
    <row r="25" spans="2:68" x14ac:dyDescent="0.25">
      <c r="B25" s="7">
        <v>94</v>
      </c>
      <c r="C25" s="10" cm="1">
        <f t="array" aca="1" ref="C25" ca="1">OptionPriceC($C$2,B25,$C$3,$C$4,$C$5,$C$6)</f>
        <v>59.572706531464014</v>
      </c>
      <c r="D25" s="10" cm="1">
        <f t="array" aca="1" ref="D25" ca="1">OptionPriceP($C$2,B25,$C$3,$C$4,$C$5,$C$6)</f>
        <v>12.927013811782398</v>
      </c>
      <c r="E25" s="17" cm="1">
        <f t="array" aca="1" ref="E25" ca="1">ODeltac($C$2,B25,$C$3,$C$4,$C$5,$C$6)</f>
        <v>0.82734881419479556</v>
      </c>
      <c r="F25" s="17" cm="1">
        <f t="array" aca="1" ref="F25" ca="1">ODeltaP($C$2,B25,$C$3,$C$4,$C$5,$C$6)</f>
        <v>-0.17265118580520444</v>
      </c>
      <c r="G25" s="17" cm="1">
        <f t="array" aca="1" ref="G25" ca="1">OGamma($C$2,B25,$C$3,$C$4,$C$5,$C$6)</f>
        <v>2.653601098862163E-3</v>
      </c>
      <c r="H25" s="17" cm="1">
        <f t="array" aca="1" ref="H25" ca="1">OThetaC($C$2,B25,$C$3,$C$4,$C$5,$C$6)</f>
        <v>-14.456629252497935</v>
      </c>
      <c r="I25" s="17" cm="1">
        <f t="array" aca="1" ref="I25" ca="1">OThetaP($C$2,B25,$C$3,$C$4,$C$5,$C$6)</f>
        <v>-10.8440609612852</v>
      </c>
      <c r="J25" s="11" cm="1">
        <f t="array" aca="1" ref="J25" ca="1">OVega($C$2,B25,$C$3,$C$4,$C$5,$C$6)</f>
        <v>0.35002754778559608</v>
      </c>
      <c r="K25" s="11" cm="1">
        <f t="array" aca="1" ref="K25" ca="1">ORhoC($C$2,B25,$C$3,$C$4,$C$5,$C$6)</f>
        <v>0.53740904325773775</v>
      </c>
      <c r="L25" s="11" cm="1">
        <f t="array" aca="1" ref="L25" ca="1">ORhop($C$2,B25,$C$3,$C$4,$C$5,$C$6)</f>
        <v>-0.36573302954544618</v>
      </c>
      <c r="BP25" t="s">
        <v>2</v>
      </c>
    </row>
    <row r="26" spans="2:68" x14ac:dyDescent="0.25">
      <c r="B26" s="7">
        <v>95</v>
      </c>
      <c r="C26" s="10" cm="1">
        <f t="array" aca="1" ref="C26" ca="1">OptionPriceC($C$2,B26,$C$3,$C$4,$C$5,$C$6)</f>
        <v>59.003804862727165</v>
      </c>
      <c r="D26" s="10" cm="1">
        <f t="array" aca="1" ref="D26" ca="1">OptionPriceP($C$2,B26,$C$3,$C$4,$C$5,$C$6)</f>
        <v>13.318901582197864</v>
      </c>
      <c r="E26" s="17" cm="1">
        <f t="array" aca="1" ref="E26" ca="1">ODeltac($C$2,B26,$C$3,$C$4,$C$5,$C$6)</f>
        <v>0.8234755920491087</v>
      </c>
      <c r="F26" s="17" cm="1">
        <f t="array" aca="1" ref="F26" ca="1">ODeltaP($C$2,B26,$C$3,$C$4,$C$5,$C$6)</f>
        <v>-0.1765244079508913</v>
      </c>
      <c r="G26" s="17" cm="1">
        <f t="array" aca="1" ref="G26" ca="1">OGamma($C$2,B26,$C$3,$C$4,$C$5,$C$6)</f>
        <v>2.6912512864488264E-3</v>
      </c>
      <c r="H26" s="17" cm="1">
        <f t="array" aca="1" ref="H26" ca="1">OThetaC($C$2,B26,$C$3,$C$4,$C$5,$C$6)</f>
        <v>-14.63278204413001</v>
      </c>
      <c r="I26" s="17" cm="1">
        <f t="array" aca="1" ref="I26" ca="1">OThetaP($C$2,B26,$C$3,$C$4,$C$5,$C$6)</f>
        <v>-10.981782175351182</v>
      </c>
      <c r="J26" s="11" cm="1">
        <f t="array" aca="1" ref="J26" ca="1">OVega($C$2,B26,$C$3,$C$4,$C$5,$C$6)</f>
        <v>0.35499385671585632</v>
      </c>
      <c r="K26" s="11" cm="1">
        <f t="array" aca="1" ref="K26" ca="1">ORhoC($C$2,B26,$C$3,$C$4,$C$5,$C$6)</f>
        <v>0.53779329876759563</v>
      </c>
      <c r="L26" s="11" cm="1">
        <f t="array" aca="1" ref="L26" ca="1">ORhop($C$2,B26,$C$3,$C$4,$C$5,$C$6)</f>
        <v>-0.37495666842711145</v>
      </c>
    </row>
    <row r="27" spans="2:68" x14ac:dyDescent="0.25">
      <c r="B27" s="7">
        <v>96</v>
      </c>
      <c r="C27" s="10" cm="1">
        <f t="array" aca="1" ref="C27" ca="1">OptionPriceC($C$2,B27,$C$3,$C$4,$C$5,$C$6)</f>
        <v>58.440496780577291</v>
      </c>
      <c r="D27" s="10" cm="1">
        <f t="array" aca="1" ref="D27" ca="1">OptionPriceP($C$2,B27,$C$3,$C$4,$C$5,$C$6)</f>
        <v>13.716382939200312</v>
      </c>
      <c r="E27" s="17" cm="1">
        <f t="array" aca="1" ref="E27" ca="1">ODeltac($C$2,B27,$C$3,$C$4,$C$5,$C$6)</f>
        <v>0.81958927190394026</v>
      </c>
      <c r="F27" s="17" cm="1">
        <f t="array" aca="1" ref="F27" ca="1">ODeltaP($C$2,B27,$C$3,$C$4,$C$5,$C$6)</f>
        <v>-0.18041072809605974</v>
      </c>
      <c r="G27" s="17" cm="1">
        <f t="array" aca="1" ref="G27" ca="1">OGamma($C$2,B27,$C$3,$C$4,$C$5,$C$6)</f>
        <v>2.7284247636665815E-3</v>
      </c>
      <c r="H27" s="17" cm="1">
        <f t="array" aca="1" ref="H27" ca="1">OThetaC($C$2,B27,$C$3,$C$4,$C$5,$C$6)</f>
        <v>-14.806428427022226</v>
      </c>
      <c r="I27" s="17" cm="1">
        <f t="array" aca="1" ref="I27" ca="1">OThetaP($C$2,B27,$C$3,$C$4,$C$5,$C$6)</f>
        <v>-11.116996980677305</v>
      </c>
      <c r="J27" s="11" cm="1">
        <f t="array" aca="1" ref="J27" ca="1">OVega($C$2,B27,$C$3,$C$4,$C$5,$C$6)</f>
        <v>0.35989728439335222</v>
      </c>
      <c r="K27" s="11" cm="1">
        <f t="array" aca="1" ref="K27" ca="1">ORhoC($C$2,B27,$C$3,$C$4,$C$5,$C$6)</f>
        <v>0.53810367940459192</v>
      </c>
      <c r="L27" s="11" cm="1">
        <f t="array" aca="1" ref="L27" ca="1">ORhop($C$2,B27,$C$3,$C$4,$C$5,$C$6)</f>
        <v>-0.38425418218163843</v>
      </c>
    </row>
    <row r="28" spans="2:68" x14ac:dyDescent="0.25">
      <c r="B28" s="7">
        <v>97</v>
      </c>
      <c r="C28" s="10" cm="1">
        <f t="array" aca="1" ref="C28" ca="1">OptionPriceC($C$2,B28,$C$3,$C$4,$C$5,$C$6)</f>
        <v>57.882742023714044</v>
      </c>
      <c r="D28" s="10" cm="1">
        <f t="array" aca="1" ref="D28" ca="1">OptionPriceP($C$2,B28,$C$3,$C$4,$C$5,$C$6)</f>
        <v>14.119417621489404</v>
      </c>
      <c r="E28" s="17" cm="1">
        <f t="array" aca="1" ref="E28" ca="1">ODeltac($C$2,B28,$C$3,$C$4,$C$5,$C$6)</f>
        <v>0.81569080666082494</v>
      </c>
      <c r="F28" s="17" cm="1">
        <f t="array" aca="1" ref="F28" ca="1">ODeltaP($C$2,B28,$C$3,$C$4,$C$5,$C$6)</f>
        <v>-0.18430919333917506</v>
      </c>
      <c r="G28" s="17" cm="1">
        <f t="array" aca="1" ref="G28" ca="1">OGamma($C$2,B28,$C$3,$C$4,$C$5,$C$6)</f>
        <v>2.7651148037513861E-3</v>
      </c>
      <c r="H28" s="17" cm="1">
        <f t="array" aca="1" ref="H28" ca="1">OThetaC($C$2,B28,$C$3,$C$4,$C$5,$C$6)</f>
        <v>-14.977544034303264</v>
      </c>
      <c r="I28" s="17" cm="1">
        <f t="array" aca="1" ref="I28" ca="1">OThetaP($C$2,B28,$C$3,$C$4,$C$5,$C$6)</f>
        <v>-11.249681010392251</v>
      </c>
      <c r="J28" s="11" cm="1">
        <f t="array" aca="1" ref="J28" ca="1">OVega($C$2,B28,$C$3,$C$4,$C$5,$C$6)</f>
        <v>0.36473694351338587</v>
      </c>
      <c r="K28" s="11" cm="1">
        <f t="array" aca="1" ref="K28" ca="1">ORhoC($C$2,B28,$C$3,$C$4,$C$5,$C$6)</f>
        <v>0.53834189287471879</v>
      </c>
      <c r="L28" s="11" cm="1">
        <f t="array" aca="1" ref="L28" ca="1">ORhop($C$2,B28,$C$3,$C$4,$C$5,$C$6)</f>
        <v>-0.39362386310303488</v>
      </c>
    </row>
    <row r="29" spans="2:68" x14ac:dyDescent="0.25">
      <c r="B29" s="7">
        <v>98</v>
      </c>
      <c r="C29" s="10" cm="1">
        <f t="array" aca="1" ref="C29" ca="1">OptionPriceC($C$2,B29,$C$3,$C$4,$C$5,$C$6)</f>
        <v>57.330499829745406</v>
      </c>
      <c r="D29" s="10" cm="1">
        <f t="array" aca="1" ref="D29" ca="1">OptionPriceP($C$2,B29,$C$3,$C$4,$C$5,$C$6)</f>
        <v>14.527964866673077</v>
      </c>
      <c r="E29" s="17" cm="1">
        <f t="array" aca="1" ref="E29" ca="1">ODeltac($C$2,B29,$C$3,$C$4,$C$5,$C$6)</f>
        <v>0.81178112895773868</v>
      </c>
      <c r="F29" s="17" cm="1">
        <f t="array" aca="1" ref="F29" ca="1">ODeltaP($C$2,B29,$C$3,$C$4,$C$5,$C$6)</f>
        <v>-0.18821887104226132</v>
      </c>
      <c r="G29" s="17" cm="1">
        <f t="array" aca="1" ref="G29" ca="1">OGamma($C$2,B29,$C$3,$C$4,$C$5,$C$6)</f>
        <v>2.8013152357450749E-3</v>
      </c>
      <c r="H29" s="17" cm="1">
        <f t="array" aca="1" ref="H29" ca="1">OThetaC($C$2,B29,$C$3,$C$4,$C$5,$C$6)</f>
        <v>-15.146106985875694</v>
      </c>
      <c r="I29" s="17" cm="1">
        <f t="array" aca="1" ref="I29" ca="1">OThetaP($C$2,B29,$C$3,$C$4,$C$5,$C$6)</f>
        <v>-11.379812384398587</v>
      </c>
      <c r="J29" s="11" cm="1">
        <f t="array" aca="1" ref="J29" ca="1">OVega($C$2,B29,$C$3,$C$4,$C$5,$C$6)</f>
        <v>0.36951202008573253</v>
      </c>
      <c r="K29" s="11" cm="1">
        <f t="array" aca="1" ref="K29" ca="1">ORhoC($C$2,B29,$C$3,$C$4,$C$5,$C$6)</f>
        <v>0.53850962414193593</v>
      </c>
      <c r="L29" s="11" cm="1">
        <f t="array" aca="1" ref="L29" ca="1">ORhop($C$2,B29,$C$3,$C$4,$C$5,$C$6)</f>
        <v>-0.40306402622734083</v>
      </c>
    </row>
    <row r="30" spans="2:68" x14ac:dyDescent="0.25">
      <c r="B30" s="7">
        <v>99</v>
      </c>
      <c r="C30" s="10" cm="1">
        <f t="array" aca="1" ref="C30" ca="1">OptionPriceC($C$2,B30,$C$3,$C$4,$C$5,$C$6)</f>
        <v>56.783728978808114</v>
      </c>
      <c r="D30" s="10" cm="1">
        <f t="array" aca="1" ref="D30" ca="1">OptionPriceP($C$2,B30,$C$3,$C$4,$C$5,$C$6)</f>
        <v>14.941983454888106</v>
      </c>
      <c r="E30" s="17" cm="1">
        <f t="array" aca="1" ref="E30" ca="1">ODeltac($C$2,B30,$C$3,$C$4,$C$5,$C$6)</f>
        <v>0.8078611512326741</v>
      </c>
      <c r="F30" s="17" cm="1">
        <f t="array" aca="1" ref="F30" ca="1">ODeltaP($C$2,B30,$C$3,$C$4,$C$5,$C$6)</f>
        <v>-0.1921388487673259</v>
      </c>
      <c r="G30" s="17" cm="1">
        <f t="array" aca="1" ref="G30" ca="1">OGamma($C$2,B30,$C$3,$C$4,$C$5,$C$6)</f>
        <v>2.837020425085322E-3</v>
      </c>
      <c r="H30" s="17" cm="1">
        <f t="array" aca="1" ref="H30" ca="1">OThetaC($C$2,B30,$C$3,$C$4,$C$5,$C$6)</f>
        <v>-15.312097796998692</v>
      </c>
      <c r="I30" s="17" cm="1">
        <f t="array" aca="1" ref="I30" ca="1">OThetaP($C$2,B30,$C$3,$C$4,$C$5,$C$6)</f>
        <v>-11.507371617955494</v>
      </c>
      <c r="J30" s="11" cm="1">
        <f t="array" aca="1" ref="J30" ca="1">OVega($C$2,B30,$C$3,$C$4,$C$5,$C$6)</f>
        <v>0.37422177087432923</v>
      </c>
      <c r="K30" s="11" cm="1">
        <f t="array" aca="1" ref="K30" ca="1">ORhoC($C$2,B30,$C$3,$C$4,$C$5,$C$6)</f>
        <v>0.53860853507903816</v>
      </c>
      <c r="L30" s="11" cm="1">
        <f t="array" aca="1" ref="L30" ca="1">ORhop($C$2,B30,$C$3,$C$4,$C$5,$C$6)</f>
        <v>-0.4125730096817618</v>
      </c>
    </row>
    <row r="31" spans="2:68" x14ac:dyDescent="0.25">
      <c r="B31" s="7">
        <v>100</v>
      </c>
      <c r="C31" s="10" cm="1">
        <f t="array" aca="1" ref="C31" ca="1">OptionPriceC($C$2,B31,$C$3,$C$4,$C$5,$C$6)</f>
        <v>56.242387835321452</v>
      </c>
      <c r="D31" s="10" cm="1">
        <f t="array" aca="1" ref="D31" ca="1">OptionPriceP($C$2,B31,$C$3,$C$4,$C$5,$C$6)</f>
        <v>15.361431750553752</v>
      </c>
      <c r="E31" s="17" cm="1">
        <f t="array" aca="1" ref="E31" ca="1">ODeltac($C$2,B31,$C$3,$C$4,$C$5,$C$6)</f>
        <v>0.80393176581050163</v>
      </c>
      <c r="F31" s="17" cm="1">
        <f t="array" aca="1" ref="F31" ca="1">ODeltaP($C$2,B31,$C$3,$C$4,$C$5,$C$6)</f>
        <v>-0.19606823418949837</v>
      </c>
      <c r="G31" s="17" cm="1">
        <f t="array" aca="1" ref="G31" ca="1">OGamma($C$2,B31,$C$3,$C$4,$C$5,$C$6)</f>
        <v>2.872225254546109E-3</v>
      </c>
      <c r="H31" s="17" cm="1">
        <f t="array" aca="1" ref="H31" ca="1">OThetaC($C$2,B31,$C$3,$C$4,$C$5,$C$6)</f>
        <v>-15.475499288698586</v>
      </c>
      <c r="I31" s="17" cm="1">
        <f t="array" aca="1" ref="I31" ca="1">OThetaP($C$2,B31,$C$3,$C$4,$C$5,$C$6)</f>
        <v>-11.632341532089294</v>
      </c>
      <c r="J31" s="11" cm="1">
        <f t="array" aca="1" ref="J31" ca="1">OVega($C$2,B31,$C$3,$C$4,$C$5,$C$6)</f>
        <v>0.37886552088319569</v>
      </c>
      <c r="K31" s="11" cm="1">
        <f t="array" aca="1" ref="K31" ca="1">ORhoC($C$2,B31,$C$3,$C$4,$C$5,$C$6)</f>
        <v>0.53864026416908273</v>
      </c>
      <c r="L31" s="11" cm="1">
        <f t="array" aca="1" ref="L31" ca="1">ORhop($C$2,B31,$C$3,$C$4,$C$5,$C$6)</f>
        <v>-0.42214917498324034</v>
      </c>
    </row>
    <row r="32" spans="2:68" x14ac:dyDescent="0.25">
      <c r="B32" s="7">
        <v>101</v>
      </c>
      <c r="C32" s="10" cm="1">
        <f t="array" aca="1" ref="C32" ca="1">OptionPriceC($C$2,B32,$C$3,$C$4,$C$5,$C$6)</f>
        <v>55.70643438793671</v>
      </c>
      <c r="D32" s="10" cm="1">
        <f t="array" aca="1" ref="D32" ca="1">OptionPriceP($C$2,B32,$C$3,$C$4,$C$5,$C$6)</f>
        <v>15.786267742321343</v>
      </c>
      <c r="E32" s="17" cm="1">
        <f t="array" aca="1" ref="E32" ca="1">ODeltac($C$2,B32,$C$3,$C$4,$C$5,$C$6)</f>
        <v>0.79999384501123638</v>
      </c>
      <c r="F32" s="17" cm="1">
        <f t="array" aca="1" ref="F32" ca="1">ODeltaP($C$2,B32,$C$3,$C$4,$C$5,$C$6)</f>
        <v>-0.20000615498876362</v>
      </c>
      <c r="G32" s="17" cm="1">
        <f t="array" aca="1" ref="G32" ca="1">OGamma($C$2,B32,$C$3,$C$4,$C$5,$C$6)</f>
        <v>2.9069251055435855E-3</v>
      </c>
      <c r="H32" s="17" cm="1">
        <f t="array" aca="1" ref="H32" ca="1">OThetaC($C$2,B32,$C$3,$C$4,$C$5,$C$6)</f>
        <v>-15.636296500063448</v>
      </c>
      <c r="I32" s="17" cm="1">
        <f t="array" aca="1" ref="I32" ca="1">OThetaP($C$2,B32,$C$3,$C$4,$C$5,$C$6)</f>
        <v>-11.754707165888064</v>
      </c>
      <c r="J32" s="11" cm="1">
        <f t="array" aca="1" ref="J32" ca="1">OVega($C$2,B32,$C$3,$C$4,$C$5,$C$6)</f>
        <v>0.38344266089055412</v>
      </c>
      <c r="K32" s="11" cm="1">
        <f t="array" aca="1" ref="K32" ca="1">ORhoC($C$2,B32,$C$3,$C$4,$C$5,$C$6)</f>
        <v>0.53860642625417732</v>
      </c>
      <c r="L32" s="11" cm="1">
        <f t="array" aca="1" ref="L32" ca="1">ORhop($C$2,B32,$C$3,$C$4,$C$5,$C$6)</f>
        <v>-0.43179090728966912</v>
      </c>
    </row>
    <row r="33" spans="2:12" x14ac:dyDescent="0.25">
      <c r="B33" s="7">
        <v>102</v>
      </c>
      <c r="C33" s="10" cm="1">
        <f t="array" aca="1" ref="C33" ca="1">OptionPriceC($C$2,B33,$C$3,$C$4,$C$5,$C$6)</f>
        <v>55.17582628774435</v>
      </c>
      <c r="D33" s="10" cm="1">
        <f t="array" aca="1" ref="D33" ca="1">OptionPriceP($C$2,B33,$C$3,$C$4,$C$5,$C$6)</f>
        <v>16.216449081281311</v>
      </c>
      <c r="E33" s="17" cm="1">
        <f t="array" aca="1" ref="E33" ca="1">ODeltac($C$2,B33,$C$3,$C$4,$C$5,$C$6)</f>
        <v>0.79604824127794516</v>
      </c>
      <c r="F33" s="17" cm="1">
        <f t="array" aca="1" ref="F33" ca="1">ODeltaP($C$2,B33,$C$3,$C$4,$C$5,$C$6)</f>
        <v>-0.20395175872205484</v>
      </c>
      <c r="G33" s="17" cm="1">
        <f t="array" aca="1" ref="G33" ca="1">OGamma($C$2,B33,$C$3,$C$4,$C$5,$C$6)</f>
        <v>2.9411158398197556E-3</v>
      </c>
      <c r="H33" s="17" cm="1">
        <f t="array" aca="1" ref="H33" ca="1">OThetaC($C$2,B33,$C$3,$C$4,$C$5,$C$6)</f>
        <v>-15.794476602467313</v>
      </c>
      <c r="I33" s="17" cm="1">
        <f t="array" aca="1" ref="I33" ca="1">OThetaP($C$2,B33,$C$3,$C$4,$C$5,$C$6)</f>
        <v>-11.874455690725835</v>
      </c>
      <c r="J33" s="11" cm="1">
        <f t="array" aca="1" ref="J33" ca="1">OVega($C$2,B33,$C$3,$C$4,$C$5,$C$6)</f>
        <v>0.38795264503278576</v>
      </c>
      <c r="K33" s="11" cm="1">
        <f t="array" aca="1" ref="K33" ca="1">ORhoC($C$2,B33,$C$3,$C$4,$C$5,$C$6)</f>
        <v>0.53850861232858893</v>
      </c>
      <c r="L33" s="11" cm="1">
        <f t="array" aca="1" ref="L33" ca="1">ORhop($C$2,B33,$C$3,$C$4,$C$5,$C$6)</f>
        <v>-0.44149661560678072</v>
      </c>
    </row>
    <row r="34" spans="2:12" x14ac:dyDescent="0.25">
      <c r="B34" s="7">
        <v>103</v>
      </c>
      <c r="C34" s="10" cm="1">
        <f t="array" aca="1" ref="C34" ca="1">OptionPriceC($C$2,B34,$C$3,$C$4,$C$5,$C$6)</f>
        <v>54.650520884798503</v>
      </c>
      <c r="D34" s="10" cm="1">
        <f t="array" aca="1" ref="D34" ca="1">OptionPriceP($C$2,B34,$C$3,$C$4,$C$5,$C$6)</f>
        <v>16.651933117487786</v>
      </c>
      <c r="E34" s="17" cm="1">
        <f t="array" aca="1" ref="E34" ca="1">ODeltac($C$2,B34,$C$3,$C$4,$C$5,$C$6)</f>
        <v>0.79209578732263197</v>
      </c>
      <c r="F34" s="17" cm="1">
        <f t="array" aca="1" ref="F34" ca="1">ODeltaP($C$2,B34,$C$3,$C$4,$C$5,$C$6)</f>
        <v>-0.20790421267736803</v>
      </c>
      <c r="G34" s="17" cm="1">
        <f t="array" aca="1" ref="G34" ca="1">OGamma($C$2,B34,$C$3,$C$4,$C$5,$C$6)</f>
        <v>2.9747937815141979E-3</v>
      </c>
      <c r="H34" s="17" cm="1">
        <f t="array" aca="1" ref="H34" ca="1">OThetaC($C$2,B34,$C$3,$C$4,$C$5,$C$6)</f>
        <v>-15.950028815759794</v>
      </c>
      <c r="I34" s="17" cm="1">
        <f t="array" aca="1" ref="I34" ca="1">OThetaP($C$2,B34,$C$3,$C$4,$C$5,$C$6)</f>
        <v>-11.991576326452222</v>
      </c>
      <c r="J34" s="11" cm="1">
        <f t="array" aca="1" ref="J34" ca="1">OVega($C$2,B34,$C$3,$C$4,$C$5,$C$6)</f>
        <v>0.39239498843957232</v>
      </c>
      <c r="K34" s="11" cm="1">
        <f t="array" aca="1" ref="K34" ca="1">ORhoC($C$2,B34,$C$3,$C$4,$C$5,$C$6)</f>
        <v>0.53834838937330443</v>
      </c>
      <c r="L34" s="11" cm="1">
        <f t="array" aca="1" ref="L34" ca="1">ORhop($C$2,B34,$C$3,$C$4,$C$5,$C$6)</f>
        <v>-0.45126473295358843</v>
      </c>
    </row>
    <row r="35" spans="2:12" x14ac:dyDescent="0.25">
      <c r="B35" s="7">
        <v>104</v>
      </c>
      <c r="C35" s="10" cm="1">
        <f t="array" aca="1" ref="C35" ca="1">OptionPriceC($C$2,B35,$C$3,$C$4,$C$5,$C$6)</f>
        <v>54.1304752630179</v>
      </c>
      <c r="D35" s="10" cm="1">
        <f t="array" aca="1" ref="D35" ca="1">OptionPriceP($C$2,B35,$C$3,$C$4,$C$5,$C$6)</f>
        <v>17.092676934859526</v>
      </c>
      <c r="E35" s="17" cm="1">
        <f t="array" aca="1" ref="E35" ca="1">ODeltac($C$2,B35,$C$3,$C$4,$C$5,$C$6)</f>
        <v>0.78813729628853779</v>
      </c>
      <c r="F35" s="17" cm="1">
        <f t="array" aca="1" ref="F35" ca="1">ODeltaP($C$2,B35,$C$3,$C$4,$C$5,$C$6)</f>
        <v>-0.21186270371146221</v>
      </c>
      <c r="G35" s="17" cm="1">
        <f t="array" aca="1" ref="G35" ca="1">OGamma($C$2,B35,$C$3,$C$4,$C$5,$C$6)</f>
        <v>3.0079556996320009E-3</v>
      </c>
      <c r="H35" s="17" cm="1">
        <f t="array" aca="1" ref="H35" ca="1">OThetaC($C$2,B35,$C$3,$C$4,$C$5,$C$6)</f>
        <v>-16.102944326448196</v>
      </c>
      <c r="I35" s="17" cm="1">
        <f t="array" aca="1" ref="I35" ca="1">OThetaP($C$2,B35,$C$3,$C$4,$C$5,$C$6)</f>
        <v>-12.106060259574528</v>
      </c>
      <c r="J35" s="11" cm="1">
        <f t="array" aca="1" ref="J35" ca="1">OVega($C$2,B35,$C$3,$C$4,$C$5,$C$6)</f>
        <v>0.39676926492130066</v>
      </c>
      <c r="K35" s="11" cm="1">
        <f t="array" aca="1" ref="K35" ca="1">ORhoC($C$2,B35,$C$3,$C$4,$C$5,$C$6)</f>
        <v>0.5381273002293061</v>
      </c>
      <c r="L35" s="11" cm="1">
        <f t="array" aca="1" ref="L35" ca="1">ORhop($C$2,B35,$C$3,$C$4,$C$5,$C$6)</f>
        <v>-0.46109371648911018</v>
      </c>
    </row>
    <row r="36" spans="2:12" x14ac:dyDescent="0.25">
      <c r="B36" s="7">
        <v>105</v>
      </c>
      <c r="C36" s="10" cm="1">
        <f t="array" aca="1" ref="C36" ca="1">OptionPriceC($C$2,B36,$C$3,$C$4,$C$5,$C$6)</f>
        <v>53.615646273520952</v>
      </c>
      <c r="D36" s="10" cm="1">
        <f t="array" aca="1" ref="D36" ca="1">OptionPriceP($C$2,B36,$C$3,$C$4,$C$5,$C$6)</f>
        <v>17.538637384514878</v>
      </c>
      <c r="E36" s="17" cm="1">
        <f t="array" aca="1" ref="E36" ca="1">ODeltac($C$2,B36,$C$3,$C$4,$C$5,$C$6)</f>
        <v>0.78417356192739385</v>
      </c>
      <c r="F36" s="17" cm="1">
        <f t="array" aca="1" ref="F36" ca="1">ODeltaP($C$2,B36,$C$3,$C$4,$C$5,$C$6)</f>
        <v>-0.21582643807260615</v>
      </c>
      <c r="G36" s="17" cm="1">
        <f t="array" aca="1" ref="G36" ca="1">OGamma($C$2,B36,$C$3,$C$4,$C$5,$C$6)</f>
        <v>3.0405987909142549E-3</v>
      </c>
      <c r="H36" s="17" cm="1">
        <f t="array" aca="1" ref="H36" ca="1">OThetaC($C$2,B36,$C$3,$C$4,$C$5,$C$6)</f>
        <v>-16.253216207891139</v>
      </c>
      <c r="I36" s="17" cm="1">
        <f t="array" aca="1" ref="I36" ca="1">OThetaP($C$2,B36,$C$3,$C$4,$C$5,$C$6)</f>
        <v>-12.217900563451384</v>
      </c>
      <c r="J36" s="11" cm="1">
        <f t="array" aca="1" ref="J36" ca="1">OVega($C$2,B36,$C$3,$C$4,$C$5,$C$6)</f>
        <v>0.40107510470956731</v>
      </c>
      <c r="K36" s="11" cm="1">
        <f t="array" aca="1" ref="K36" ca="1">ORhoC($C$2,B36,$C$3,$C$4,$C$5,$C$6)</f>
        <v>0.53784686350698718</v>
      </c>
      <c r="L36" s="11" cm="1">
        <f t="array" aca="1" ref="L36" ca="1">ORhop($C$2,B36,$C$3,$C$4,$C$5,$C$6)</f>
        <v>-0.47098204760295209</v>
      </c>
    </row>
    <row r="37" spans="2:12" x14ac:dyDescent="0.25">
      <c r="B37" s="7">
        <v>106</v>
      </c>
      <c r="C37" s="10" cm="1">
        <f t="array" aca="1" ref="C37" ca="1">OptionPriceC($C$2,B37,$C$3,$C$4,$C$5,$C$6)</f>
        <v>53.105990566450046</v>
      </c>
      <c r="D37" s="10" cm="1">
        <f t="array" aca="1" ref="D37" ca="1">OptionPriceP($C$2,B37,$C$3,$C$4,$C$5,$C$6)</f>
        <v>17.989771116596305</v>
      </c>
      <c r="E37" s="17" cm="1">
        <f t="array" aca="1" ref="E37" ca="1">ODeltac($C$2,B37,$C$3,$C$4,$C$5,$C$6)</f>
        <v>0.78020535879024511</v>
      </c>
      <c r="F37" s="17" cm="1">
        <f t="array" aca="1" ref="F37" ca="1">ODeltaP($C$2,B37,$C$3,$C$4,$C$5,$C$6)</f>
        <v>-0.21979464120975489</v>
      </c>
      <c r="G37" s="17" cm="1">
        <f t="array" aca="1" ref="G37" ca="1">OGamma($C$2,B37,$C$3,$C$4,$C$5,$C$6)</f>
        <v>3.0727206631157729E-3</v>
      </c>
      <c r="H37" s="17" cm="1">
        <f t="array" aca="1" ref="H37" ca="1">OThetaC($C$2,B37,$C$3,$C$4,$C$5,$C$6)</f>
        <v>-16.400839342515653</v>
      </c>
      <c r="I37" s="17" cm="1">
        <f t="array" aca="1" ref="I37" ca="1">OThetaP($C$2,B37,$C$3,$C$4,$C$5,$C$6)</f>
        <v>-12.327092120509803</v>
      </c>
      <c r="J37" s="11" cm="1">
        <f t="array" aca="1" ref="J37" ca="1">OVega($C$2,B37,$C$3,$C$4,$C$5,$C$6)</f>
        <v>0.40531219225139903</v>
      </c>
      <c r="K37" s="11" cm="1">
        <f t="array" aca="1" ref="K37" ca="1">ORhoC($C$2,B37,$C$3,$C$4,$C$5,$C$6)</f>
        <v>0.53750857352926051</v>
      </c>
      <c r="L37" s="11" cm="1">
        <f t="array" aca="1" ref="L37" ca="1">ORhop($C$2,B37,$C$3,$C$4,$C$5,$C$6)</f>
        <v>-0.48092823197220214</v>
      </c>
    </row>
    <row r="38" spans="2:12" x14ac:dyDescent="0.25">
      <c r="B38" s="7">
        <v>107</v>
      </c>
      <c r="C38" s="10" cm="1">
        <f t="array" aca="1" ref="C38" ca="1">OptionPriceC($C$2,B38,$C$3,$C$4,$C$5,$C$6)</f>
        <v>52.601464621340888</v>
      </c>
      <c r="D38" s="10" cm="1">
        <f t="array" aca="1" ref="D38" ca="1">OptionPriceP($C$2,B38,$C$3,$C$4,$C$5,$C$6)</f>
        <v>18.446034610639465</v>
      </c>
      <c r="E38" s="17" cm="1">
        <f t="array" aca="1" ref="E38" ca="1">ODeltac($C$2,B38,$C$3,$C$4,$C$5,$C$6)</f>
        <v>0.77623344243056125</v>
      </c>
      <c r="F38" s="17" cm="1">
        <f t="array" aca="1" ref="F38" ca="1">ODeltaP($C$2,B38,$C$3,$C$4,$C$5,$C$6)</f>
        <v>-0.22376655756943875</v>
      </c>
      <c r="G38" s="17" cm="1">
        <f t="array" aca="1" ref="G38" ca="1">OGamma($C$2,B38,$C$3,$C$4,$C$5,$C$6)</f>
        <v>3.1043193186931846E-3</v>
      </c>
      <c r="H38" s="17" cm="1">
        <f t="array" aca="1" ref="H38" ca="1">OThetaC($C$2,B38,$C$3,$C$4,$C$5,$C$6)</f>
        <v>-16.545810346063007</v>
      </c>
      <c r="I38" s="17" cm="1">
        <f t="array" aca="1" ref="I38" ca="1">OThetaP($C$2,B38,$C$3,$C$4,$C$5,$C$6)</f>
        <v>-12.433631546491064</v>
      </c>
      <c r="J38" s="11" cm="1">
        <f t="array" aca="1" ref="J38" ca="1">OVega($C$2,B38,$C$3,$C$4,$C$5,$C$6)</f>
        <v>0.4094802640576044</v>
      </c>
      <c r="K38" s="11" cm="1">
        <f t="array" aca="1" ref="K38" ca="1">ORhoC($C$2,B38,$C$3,$C$4,$C$5,$C$6)</f>
        <v>0.53711390030604544</v>
      </c>
      <c r="L38" s="11" cm="1">
        <f t="array" aca="1" ref="L38" ca="1">ORhop($C$2,B38,$C$3,$C$4,$C$5,$C$6)</f>
        <v>-0.49093079958694041</v>
      </c>
    </row>
    <row r="39" spans="2:12" x14ac:dyDescent="0.25">
      <c r="B39" s="7">
        <v>108</v>
      </c>
      <c r="C39" s="10" cm="1">
        <f t="array" aca="1" ref="C39" ca="1">OptionPriceC($C$2,B39,$C$3,$C$4,$C$5,$C$6)</f>
        <v>52.102024776088712</v>
      </c>
      <c r="D39" s="10" cm="1">
        <f t="array" aca="1" ref="D39" ca="1">OptionPriceP($C$2,B39,$C$3,$C$4,$C$5,$C$6)</f>
        <v>18.9073842045396</v>
      </c>
      <c r="E39" s="17" cm="1">
        <f t="array" aca="1" ref="E39" ca="1">ODeltac($C$2,B39,$C$3,$C$4,$C$5,$C$6)</f>
        <v>0.772258549618418</v>
      </c>
      <c r="F39" s="17" cm="1">
        <f t="array" aca="1" ref="F39" ca="1">ODeltaP($C$2,B39,$C$3,$C$4,$C$5,$C$6)</f>
        <v>-0.227741450381582</v>
      </c>
      <c r="G39" s="17" cm="1">
        <f t="array" aca="1" ref="G39" ca="1">OGamma($C$2,B39,$C$3,$C$4,$C$5,$C$6)</f>
        <v>3.1353931389052118E-3</v>
      </c>
      <c r="H39" s="17" cm="1">
        <f t="array" aca="1" ref="H39" ca="1">OThetaC($C$2,B39,$C$3,$C$4,$C$5,$C$6)</f>
        <v>-16.688127493862961</v>
      </c>
      <c r="I39" s="17" cm="1">
        <f t="array" aca="1" ref="I39" ca="1">OThetaP($C$2,B39,$C$3,$C$4,$C$5,$C$6)</f>
        <v>-12.537517116724926</v>
      </c>
      <c r="J39" s="11" cm="1">
        <f t="array" aca="1" ref="J39" ca="1">OVega($C$2,B39,$C$3,$C$4,$C$5,$C$6)</f>
        <v>0.41357910660549529</v>
      </c>
      <c r="K39" s="11" cm="1">
        <f t="array" aca="1" ref="K39" ca="1">ORhoC($C$2,B39,$C$3,$C$4,$C$5,$C$6)</f>
        <v>0.53666428953794865</v>
      </c>
      <c r="L39" s="11" cm="1">
        <f t="array" aca="1" ref="L39" ca="1">ORhop($C$2,B39,$C$3,$C$4,$C$5,$C$6)</f>
        <v>-0.50098830474656042</v>
      </c>
    </row>
    <row r="40" spans="2:12" x14ac:dyDescent="0.25">
      <c r="B40" s="7">
        <v>109</v>
      </c>
      <c r="C40" s="10" cm="1">
        <f t="array" aca="1" ref="C40" ca="1">OptionPriceC($C$2,B40,$C$3,$C$4,$C$5,$C$6)</f>
        <v>51.607627254563802</v>
      </c>
      <c r="D40" s="10" cm="1">
        <f t="array" aca="1" ref="D40" ca="1">OptionPriceP($C$2,B40,$C$3,$C$4,$C$5,$C$6)</f>
        <v>19.373776122167026</v>
      </c>
      <c r="E40" s="17" cm="1">
        <f t="array" aca="1" ref="E40" ca="1">ODeltac($C$2,B40,$C$3,$C$4,$C$5,$C$6)</f>
        <v>0.76828139856462041</v>
      </c>
      <c r="F40" s="17" cm="1">
        <f t="array" aca="1" ref="F40" ca="1">ODeltaP($C$2,B40,$C$3,$C$4,$C$5,$C$6)</f>
        <v>-0.23171860143537959</v>
      </c>
      <c r="G40" s="17" cm="1">
        <f t="array" aca="1" ref="G40" ca="1">OGamma($C$2,B40,$C$3,$C$4,$C$5,$C$6)</f>
        <v>3.1659408683256673E-3</v>
      </c>
      <c r="H40" s="17" cm="1">
        <f t="array" aca="1" ref="H40" ca="1">OThetaC($C$2,B40,$C$3,$C$4,$C$5,$C$6)</f>
        <v>-16.827790649130669</v>
      </c>
      <c r="I40" s="17" cm="1">
        <f t="array" aca="1" ref="I40" ca="1">OThetaP($C$2,B40,$C$3,$C$4,$C$5,$C$6)</f>
        <v>-12.638748694426539</v>
      </c>
      <c r="J40" s="11" cm="1">
        <f t="array" aca="1" ref="J40" ca="1">OVega($C$2,B40,$C$3,$C$4,$C$5,$C$6)</f>
        <v>0.41760855429604865</v>
      </c>
      <c r="K40" s="11" cm="1">
        <f t="array" aca="1" ref="K40" ca="1">ORhoC($C$2,B40,$C$3,$C$4,$C$5,$C$6)</f>
        <v>0.53616116264706759</v>
      </c>
      <c r="L40" s="11" cm="1">
        <f t="array" aca="1" ref="L40" ca="1">ORhop($C$2,B40,$C$3,$C$4,$C$5,$C$6)</f>
        <v>-0.51109932602896468</v>
      </c>
    </row>
    <row r="41" spans="2:12" x14ac:dyDescent="0.25">
      <c r="B41" s="7">
        <v>110</v>
      </c>
      <c r="C41" s="10" cm="1">
        <f t="array" aca="1" ref="C41" ca="1">OptionPriceC($C$2,B41,$C$3,$C$4,$C$5,$C$6)</f>
        <v>51.118228192926317</v>
      </c>
      <c r="D41" s="10" cm="1">
        <f t="array" aca="1" ref="D41" ca="1">OptionPriceP($C$2,B41,$C$3,$C$4,$C$5,$C$6)</f>
        <v>19.845166499681866</v>
      </c>
      <c r="E41" s="17" cm="1">
        <f t="array" aca="1" ref="E41" ca="1">ODeltac($C$2,B41,$C$3,$C$4,$C$5,$C$6)</f>
        <v>0.76430268915370625</v>
      </c>
      <c r="F41" s="17" cm="1">
        <f t="array" aca="1" ref="F41" ca="1">ODeltaP($C$2,B41,$C$3,$C$4,$C$5,$C$6)</f>
        <v>-0.23569731084629375</v>
      </c>
      <c r="G41" s="17" cm="1">
        <f t="array" aca="1" ref="G41" ca="1">OGamma($C$2,B41,$C$3,$C$4,$C$5,$C$6)</f>
        <v>3.1959615997686442E-3</v>
      </c>
      <c r="H41" s="17" cm="1">
        <f t="array" aca="1" ref="H41" ca="1">OThetaC($C$2,B41,$C$3,$C$4,$C$5,$C$6)</f>
        <v>-16.964801193275896</v>
      </c>
      <c r="I41" s="17" cm="1">
        <f t="array" aca="1" ref="I41" ca="1">OThetaP($C$2,B41,$C$3,$C$4,$C$5,$C$6)</f>
        <v>-12.737327661005672</v>
      </c>
      <c r="J41" s="11" cm="1">
        <f t="array" aca="1" ref="J41" ca="1">OVega($C$2,B41,$C$3,$C$4,$C$5,$C$6)</f>
        <v>0.42156848746543907</v>
      </c>
      <c r="K41" s="11" cm="1">
        <f t="array" aca="1" ref="K41" ca="1">ORhoC($C$2,B41,$C$3,$C$4,$C$5,$C$6)</f>
        <v>0.53560591683296377</v>
      </c>
      <c r="L41" s="11" cm="1">
        <f t="array" aca="1" ref="L41" ca="1">ORhop($C$2,B41,$C$3,$C$4,$C$5,$C$6)</f>
        <v>-0.52126246623459171</v>
      </c>
    </row>
    <row r="42" spans="2:12" x14ac:dyDescent="0.25">
      <c r="B42" s="7">
        <v>111</v>
      </c>
      <c r="C42" s="10" cm="1">
        <f t="array" aca="1" ref="C42" ca="1">OptionPriceC($C$2,B42,$C$3,$C$4,$C$5,$C$6)</f>
        <v>50.633783664688806</v>
      </c>
      <c r="D42" s="10" cm="1">
        <f t="array" aca="1" ref="D42" ca="1">OptionPriceP($C$2,B42,$C$3,$C$4,$C$5,$C$6)</f>
        <v>20.321511410596671</v>
      </c>
      <c r="E42" s="17" cm="1">
        <f t="array" aca="1" ref="E42" ca="1">ODeltac($C$2,B42,$C$3,$C$4,$C$5,$C$6)</f>
        <v>0.76032310318483554</v>
      </c>
      <c r="F42" s="17" cm="1">
        <f t="array" aca="1" ref="F42" ca="1">ODeltaP($C$2,B42,$C$3,$C$4,$C$5,$C$6)</f>
        <v>-0.23967689681516446</v>
      </c>
      <c r="G42" s="17" cm="1">
        <f t="array" aca="1" ref="G42" ca="1">OGamma($C$2,B42,$C$3,$C$4,$C$5,$C$6)</f>
        <v>3.2254547596243435E-3</v>
      </c>
      <c r="H42" s="17" cm="1">
        <f t="array" aca="1" ref="H42" ca="1">OThetaC($C$2,B42,$C$3,$C$4,$C$5,$C$6)</f>
        <v>-17.099161958210058</v>
      </c>
      <c r="I42" s="17" cm="1">
        <f t="array" aca="1" ref="I42" ca="1">OThetaP($C$2,B42,$C$3,$C$4,$C$5,$C$6)</f>
        <v>-12.833256848373741</v>
      </c>
      <c r="J42" s="11" cm="1">
        <f t="array" aca="1" ref="J42" ca="1">OVega($C$2,B42,$C$3,$C$4,$C$5,$C$6)</f>
        <v>0.42545883045073768</v>
      </c>
      <c r="K42" s="11" cm="1">
        <f t="array" aca="1" ref="K42" ca="1">ORhoC($C$2,B42,$C$3,$C$4,$C$5,$C$6)</f>
        <v>0.5349999251519596</v>
      </c>
      <c r="L42" s="11" cm="1">
        <f t="array" aca="1" ref="L42" ca="1">ORhop($C$2,B42,$C$3,$C$4,$C$5,$C$6)</f>
        <v>-0.53147635230711909</v>
      </c>
    </row>
    <row r="43" spans="2:12" x14ac:dyDescent="0.25">
      <c r="B43" s="7">
        <v>112</v>
      </c>
      <c r="C43" s="10" cm="1">
        <f t="array" aca="1" ref="C43" ca="1">OptionPriceC($C$2,B43,$C$3,$C$4,$C$5,$C$6)</f>
        <v>50.154249704573964</v>
      </c>
      <c r="D43" s="10" cm="1">
        <f t="array" aca="1" ref="D43" ca="1">OptionPriceP($C$2,B43,$C$3,$C$4,$C$5,$C$6)</f>
        <v>20.802766889634135</v>
      </c>
      <c r="E43" s="17" cm="1">
        <f t="array" aca="1" ref="E43" ca="1">ODeltac($C$2,B43,$C$3,$C$4,$C$5,$C$6)</f>
        <v>0.7563433046196415</v>
      </c>
      <c r="F43" s="17" cm="1">
        <f t="array" aca="1" ref="F43" ca="1">ODeltaP($C$2,B43,$C$3,$C$4,$C$5,$C$6)</f>
        <v>-0.2436566953803585</v>
      </c>
      <c r="G43" s="17" cm="1">
        <f t="array" aca="1" ref="G43" ca="1">OGamma($C$2,B43,$C$3,$C$4,$C$5,$C$6)</f>
        <v>3.2544200936031093E-3</v>
      </c>
      <c r="H43" s="17" cm="1">
        <f t="array" aca="1" ref="H43" ca="1">OThetaC($C$2,B43,$C$3,$C$4,$C$5,$C$6)</f>
        <v>-17.230877160632751</v>
      </c>
      <c r="I43" s="17" cm="1">
        <f t="array" aca="1" ref="I43" ca="1">OThetaP($C$2,B43,$C$3,$C$4,$C$5,$C$6)</f>
        <v>-12.926540473230343</v>
      </c>
      <c r="J43" s="11" cm="1">
        <f t="array" aca="1" ref="J43" ca="1">OVega($C$2,B43,$C$3,$C$4,$C$5,$C$6)</f>
        <v>0.42927954970945581</v>
      </c>
      <c r="K43" s="11" cm="1">
        <f t="array" aca="1" ref="K43" ca="1">ORhoC($C$2,B43,$C$3,$C$4,$C$5,$C$6)</f>
        <v>0.53434453661801673</v>
      </c>
      <c r="L43" s="11" cm="1">
        <f t="array" aca="1" ref="L43" ca="1">ORhop($C$2,B43,$C$3,$C$4,$C$5,$C$6)</f>
        <v>-0.54173963523258506</v>
      </c>
    </row>
    <row r="44" spans="2:12" x14ac:dyDescent="0.25">
      <c r="B44" s="7">
        <v>113</v>
      </c>
      <c r="C44" s="10" cm="1">
        <f t="array" aca="1" ref="C44" ca="1">OptionPriceC($C$2,B44,$C$3,$C$4,$C$5,$C$6)</f>
        <v>49.679582331213425</v>
      </c>
      <c r="D44" s="10" cm="1">
        <f t="array" aca="1" ref="D44" ca="1">OptionPriceP($C$2,B44,$C$3,$C$4,$C$5,$C$6)</f>
        <v>21.288888955425918</v>
      </c>
      <c r="E44" s="17" cm="1">
        <f t="array" aca="1" ref="E44" ca="1">ODeltac($C$2,B44,$C$3,$C$4,$C$5,$C$6)</f>
        <v>0.75236393983617367</v>
      </c>
      <c r="F44" s="17" cm="1">
        <f t="array" aca="1" ref="F44" ca="1">ODeltaP($C$2,B44,$C$3,$C$4,$C$5,$C$6)</f>
        <v>-0.24763606016382633</v>
      </c>
      <c r="G44" s="17" cm="1">
        <f t="array" aca="1" ref="G44" ca="1">OGamma($C$2,B44,$C$3,$C$4,$C$5,$C$6)</f>
        <v>3.282857652884468E-3</v>
      </c>
      <c r="H44" s="17" cm="1">
        <f t="array" aca="1" ref="H44" ca="1">OThetaC($C$2,B44,$C$3,$C$4,$C$5,$C$6)</f>
        <v>-17.35995233827639</v>
      </c>
      <c r="I44" s="17" cm="1">
        <f t="array" aca="1" ref="I44" ca="1">OThetaP($C$2,B44,$C$3,$C$4,$C$5,$C$6)</f>
        <v>-13.017184073307888</v>
      </c>
      <c r="J44" s="11" cm="1">
        <f t="array" aca="1" ref="J44" ca="1">OVega($C$2,B44,$C$3,$C$4,$C$5,$C$6)</f>
        <v>0.43303065199251167</v>
      </c>
      <c r="K44" s="11" cm="1">
        <f t="array" aca="1" ref="K44" ca="1">ORhoC($C$2,B44,$C$3,$C$4,$C$5,$C$6)</f>
        <v>0.5336410763235494</v>
      </c>
      <c r="L44" s="11" cm="1">
        <f t="array" aca="1" ref="L44" ca="1">ORhop($C$2,B44,$C$3,$C$4,$C$5,$C$6)</f>
        <v>-0.55205098991857571</v>
      </c>
    </row>
    <row r="45" spans="2:12" x14ac:dyDescent="0.25">
      <c r="B45" s="7">
        <v>114</v>
      </c>
      <c r="C45" s="10" cm="1">
        <f t="array" aca="1" ref="C45" ca="1">OptionPriceC($C$2,B45,$C$3,$C$4,$C$5,$C$6)</f>
        <v>49.209737568731853</v>
      </c>
      <c r="D45" s="10" cm="1">
        <f t="array" aca="1" ref="D45" ca="1">OptionPriceP($C$2,B45,$C$3,$C$4,$C$5,$C$6)</f>
        <v>21.77983363209669</v>
      </c>
      <c r="E45" s="17" cm="1">
        <f t="array" aca="1" ref="E45" ca="1">ODeltac($C$2,B45,$C$3,$C$4,$C$5,$C$6)</f>
        <v>0.74838563788812751</v>
      </c>
      <c r="F45" s="17" cm="1">
        <f t="array" aca="1" ref="F45" ca="1">ODeltaP($C$2,B45,$C$3,$C$4,$C$5,$C$6)</f>
        <v>-0.25161436211187249</v>
      </c>
      <c r="G45" s="17" cm="1">
        <f t="array" aca="1" ref="G45" ca="1">OGamma($C$2,B45,$C$3,$C$4,$C$5,$C$6)</f>
        <v>3.3107677806672215E-3</v>
      </c>
      <c r="H45" s="17" cm="1">
        <f t="array" aca="1" ref="H45" ca="1">OThetaC($C$2,B45,$C$3,$C$4,$C$5,$C$6)</f>
        <v>-17.486394288084412</v>
      </c>
      <c r="I45" s="17" cm="1">
        <f t="array" aca="1" ref="I45" ca="1">OThetaP($C$2,B45,$C$3,$C$4,$C$5,$C$6)</f>
        <v>-13.105194445549818</v>
      </c>
      <c r="J45" s="11" cm="1">
        <f t="array" aca="1" ref="J45" ca="1">OVega($C$2,B45,$C$3,$C$4,$C$5,$C$6)</f>
        <v>0.43671218257009875</v>
      </c>
      <c r="K45" s="11" cm="1">
        <f t="array" aca="1" ref="K45" ca="1">ORhoC($C$2,B45,$C$3,$C$4,$C$5,$C$6)</f>
        <v>0.5328908455786231</v>
      </c>
      <c r="L45" s="11" cm="1">
        <f t="array" aca="1" ref="L45" ca="1">ORhop($C$2,B45,$C$3,$C$4,$C$5,$C$6)</f>
        <v>-0.56240911505502544</v>
      </c>
    </row>
    <row r="46" spans="2:12" x14ac:dyDescent="0.25">
      <c r="B46" s="7">
        <v>115</v>
      </c>
      <c r="C46" s="10" cm="1">
        <f t="array" aca="1" ref="C46" ca="1">OptionPriceC($C$2,B46,$C$3,$C$4,$C$5,$C$6)</f>
        <v>48.744671467259494</v>
      </c>
      <c r="D46" s="10" cm="1">
        <f t="array" aca="1" ref="D46" ca="1">OptionPriceP($C$2,B46,$C$3,$C$4,$C$5,$C$6)</f>
        <v>22.275556969776666</v>
      </c>
      <c r="E46" s="17" cm="1">
        <f t="array" aca="1" ref="E46" ca="1">ODeltac($C$2,B46,$C$3,$C$4,$C$5,$C$6)</f>
        <v>0.744409010768605</v>
      </c>
      <c r="F46" s="17" cm="1">
        <f t="array" aca="1" ref="F46" ca="1">ODeltaP($C$2,B46,$C$3,$C$4,$C$5,$C$6)</f>
        <v>-0.255590989231395</v>
      </c>
      <c r="G46" s="17" cm="1">
        <f t="array" aca="1" ref="G46" ca="1">OGamma($C$2,B46,$C$3,$C$4,$C$5,$C$6)</f>
        <v>3.3381510991160714E-3</v>
      </c>
      <c r="H46" s="17" cm="1">
        <f t="array" aca="1" ref="H46" ca="1">OThetaC($C$2,B46,$C$3,$C$4,$C$5,$C$6)</f>
        <v>-17.610211006296201</v>
      </c>
      <c r="I46" s="17" cm="1">
        <f t="array" aca="1" ref="I46" ca="1">OThetaP($C$2,B46,$C$3,$C$4,$C$5,$C$6)</f>
        <v>-13.190579586195515</v>
      </c>
      <c r="J46" s="11" cm="1">
        <f t="array" aca="1" ref="J46" ca="1">OVega($C$2,B46,$C$3,$C$4,$C$5,$C$6)</f>
        <v>0.44032422350985911</v>
      </c>
      <c r="K46" s="11" cm="1">
        <f t="array" aca="1" ref="K46" ca="1">ORhoC($C$2,B46,$C$3,$C$4,$C$5,$C$6)</f>
        <v>0.53209512206707577</v>
      </c>
      <c r="L46" s="11" cm="1">
        <f t="array" aca="1" ref="L46" ca="1">ORhop($C$2,B46,$C$3,$C$4,$C$5,$C$6)</f>
        <v>-0.57281273295809609</v>
      </c>
    </row>
    <row r="47" spans="2:12" x14ac:dyDescent="0.25">
      <c r="B47" s="7">
        <v>116</v>
      </c>
      <c r="C47" s="10" cm="1">
        <f t="array" aca="1" ref="C47" ca="1">OptionPriceC($C$2,B47,$C$3,$C$4,$C$5,$C$6)</f>
        <v>48.284340122414548</v>
      </c>
      <c r="D47" s="10" cm="1">
        <f t="array" aca="1" ref="D47" ca="1">OptionPriceP($C$2,B47,$C$3,$C$4,$C$5,$C$6)</f>
        <v>22.776015064084035</v>
      </c>
      <c r="E47" s="17" cm="1">
        <f t="array" aca="1" ref="E47" ca="1">ODeltac($C$2,B47,$C$3,$C$4,$C$5,$C$6)</f>
        <v>0.74043465367770189</v>
      </c>
      <c r="F47" s="17" cm="1">
        <f t="array" aca="1" ref="F47" ca="1">ODeltaP($C$2,B47,$C$3,$C$4,$C$5,$C$6)</f>
        <v>-0.25956534632229811</v>
      </c>
      <c r="G47" s="17" cm="1">
        <f t="array" aca="1" ref="G47" ca="1">OGamma($C$2,B47,$C$3,$C$4,$C$5,$C$6)</f>
        <v>3.365008496699678E-3</v>
      </c>
      <c r="H47" s="17" cm="1">
        <f t="array" aca="1" ref="H47" ca="1">OThetaC($C$2,B47,$C$3,$C$4,$C$5,$C$6)</f>
        <v>-17.731411630409617</v>
      </c>
      <c r="I47" s="17" cm="1">
        <f t="array" aca="1" ref="I47" ca="1">OThetaP($C$2,B47,$C$3,$C$4,$C$5,$C$6)</f>
        <v>-13.273348632742838</v>
      </c>
      <c r="J47" s="11" cm="1">
        <f t="array" aca="1" ref="J47" ca="1">OVega($C$2,B47,$C$3,$C$4,$C$5,$C$6)</f>
        <v>0.44386689200668911</v>
      </c>
      <c r="K47" s="11" cm="1">
        <f t="array" aca="1" ref="K47" ca="1">ORhoC($C$2,B47,$C$3,$C$4,$C$5,$C$6)</f>
        <v>0.5312551600181814</v>
      </c>
      <c r="L47" s="11" cm="1">
        <f t="array" aca="1" ref="L47" ca="1">ORhop($C$2,B47,$C$3,$C$4,$C$5,$C$6)</f>
        <v>-0.58326058939851355</v>
      </c>
    </row>
    <row r="48" spans="2:12" x14ac:dyDescent="0.25">
      <c r="B48" s="7">
        <v>117</v>
      </c>
      <c r="C48" s="10" cm="1">
        <f t="array" aca="1" ref="C48" ca="1">OptionPriceC($C$2,B48,$C$3,$C$4,$C$5,$C$6)</f>
        <v>47.82869969379594</v>
      </c>
      <c r="D48" s="10" cm="1">
        <f t="array" aca="1" ref="D48" ca="1">OptionPriceP($C$2,B48,$C$3,$C$4,$C$5,$C$6)</f>
        <v>23.281164074617749</v>
      </c>
      <c r="E48" s="17" cm="1">
        <f t="array" aca="1" ref="E48" ca="1">ODeltac($C$2,B48,$C$3,$C$4,$C$5,$C$6)</f>
        <v>0.7364631452932715</v>
      </c>
      <c r="F48" s="17" cm="1">
        <f t="array" aca="1" ref="F48" ca="1">ODeltaP($C$2,B48,$C$3,$C$4,$C$5,$C$6)</f>
        <v>-0.2635368547067285</v>
      </c>
      <c r="G48" s="17" cm="1">
        <f t="array" aca="1" ref="G48" ca="1">OGamma($C$2,B48,$C$3,$C$4,$C$5,$C$6)</f>
        <v>3.39134111591458E-3</v>
      </c>
      <c r="H48" s="17" cm="1">
        <f t="array" aca="1" ref="H48" ca="1">OThetaC($C$2,B48,$C$3,$C$4,$C$5,$C$6)</f>
        <v>-17.850006382990077</v>
      </c>
      <c r="I48" s="17" cm="1">
        <f t="array" aca="1" ref="I48" ca="1">OThetaP($C$2,B48,$C$3,$C$4,$C$5,$C$6)</f>
        <v>-13.353511807757206</v>
      </c>
      <c r="J48" s="11" cm="1">
        <f t="array" aca="1" ref="J48" ca="1">OVega($C$2,B48,$C$3,$C$4,$C$5,$C$6)</f>
        <v>0.44734033876344403</v>
      </c>
      <c r="K48" s="11" cm="1">
        <f t="array" aca="1" ref="K48" ca="1">ORhoC($C$2,B48,$C$3,$C$4,$C$5,$C$6)</f>
        <v>0.53037219039256001</v>
      </c>
      <c r="L48" s="11" cm="1">
        <f t="array" aca="1" ref="L48" ca="1">ORhop($C$2,B48,$C$3,$C$4,$C$5,$C$6)</f>
        <v>-0.59375145341565816</v>
      </c>
    </row>
    <row r="49" spans="2:12" x14ac:dyDescent="0.25">
      <c r="B49" s="7">
        <v>118</v>
      </c>
      <c r="C49" s="10" cm="1">
        <f t="array" aca="1" ref="C49" ca="1">OptionPriceC($C$2,B49,$C$3,$C$4,$C$5,$C$6)</f>
        <v>47.377706422525314</v>
      </c>
      <c r="D49" s="10" cm="1">
        <f t="array" aca="1" ref="D49" ca="1">OptionPriceP($C$2,B49,$C$3,$C$4,$C$5,$C$6)</f>
        <v>23.790960242499438</v>
      </c>
      <c r="E49" s="17" cm="1">
        <f t="array" aca="1" ref="E49" ca="1">ODeltac($C$2,B49,$C$3,$C$4,$C$5,$C$6)</f>
        <v>0.73249504804425269</v>
      </c>
      <c r="F49" s="17" cm="1">
        <f t="array" aca="1" ref="F49" ca="1">ODeltaP($C$2,B49,$C$3,$C$4,$C$5,$C$6)</f>
        <v>-0.26750495195574731</v>
      </c>
      <c r="G49" s="17" cm="1">
        <f t="array" aca="1" ref="G49" ca="1">OGamma($C$2,B49,$C$3,$C$4,$C$5,$C$6)</f>
        <v>3.4171503413890016E-3</v>
      </c>
      <c r="H49" s="17" cm="1">
        <f t="array" aca="1" ref="H49" ca="1">OThetaC($C$2,B49,$C$3,$C$4,$C$5,$C$6)</f>
        <v>-17.96600651729355</v>
      </c>
      <c r="I49" s="17" cm="1">
        <f t="array" aca="1" ref="I49" ca="1">OThetaP($C$2,B49,$C$3,$C$4,$C$5,$C$6)</f>
        <v>-13.431080364494584</v>
      </c>
      <c r="J49" s="11" cm="1">
        <f t="array" aca="1" ref="J49" ca="1">OVega($C$2,B49,$C$3,$C$4,$C$5,$C$6)</f>
        <v>0.45074474642175072</v>
      </c>
      <c r="K49" s="11" cm="1">
        <f t="array" aca="1" ref="K49" ca="1">ORhoC($C$2,B49,$C$3,$C$4,$C$5,$C$6)</f>
        <v>0.52944742108110743</v>
      </c>
      <c r="L49" s="11" cm="1">
        <f t="array" aca="1" ref="L49" ca="1">ORhop($C$2,B49,$C$3,$C$4,$C$5,$C$6)</f>
        <v>-0.60428411711863395</v>
      </c>
    </row>
    <row r="50" spans="2:12" x14ac:dyDescent="0.25">
      <c r="B50" s="7">
        <v>119</v>
      </c>
      <c r="C50" s="10" cm="1">
        <f t="array" aca="1" ref="C50" ca="1">OptionPriceC($C$2,B50,$C$3,$C$4,$C$5,$C$6)</f>
        <v>46.931316647875668</v>
      </c>
      <c r="D50" s="10" cm="1">
        <f t="array" aca="1" ref="D50" ca="1">OptionPriceP($C$2,B50,$C$3,$C$4,$C$5,$C$6)</f>
        <v>24.305359907002114</v>
      </c>
      <c r="E50" s="17" cm="1">
        <f t="array" aca="1" ref="E50" ca="1">ODeltac($C$2,B50,$C$3,$C$4,$C$5,$C$6)</f>
        <v>0.72853090838599865</v>
      </c>
      <c r="F50" s="17" cm="1">
        <f t="array" aca="1" ref="F50" ca="1">ODeltaP($C$2,B50,$C$3,$C$4,$C$5,$C$6)</f>
        <v>-0.27146909161400135</v>
      </c>
      <c r="G50" s="17" cm="1">
        <f t="array" aca="1" ref="G50" ca="1">OGamma($C$2,B50,$C$3,$C$4,$C$5,$C$6)</f>
        <v>3.4424377883601983E-3</v>
      </c>
      <c r="H50" s="17" cm="1">
        <f t="array" aca="1" ref="H50" ca="1">OThetaC($C$2,B50,$C$3,$C$4,$C$5,$C$6)</f>
        <v>-18.07942426466948</v>
      </c>
      <c r="I50" s="17" cm="1">
        <f t="array" aca="1" ref="I50" ca="1">OThetaP($C$2,B50,$C$3,$C$4,$C$5,$C$6)</f>
        <v>-13.50606653430442</v>
      </c>
      <c r="J50" s="11" cm="1">
        <f t="array" aca="1" ref="J50" ca="1">OVega($C$2,B50,$C$3,$C$4,$C$5,$C$6)</f>
        <v>0.45408032804209358</v>
      </c>
      <c r="K50" s="11" cm="1">
        <f t="array" aca="1" ref="K50" ca="1">ORhoC($C$2,B50,$C$3,$C$4,$C$5,$C$6)</f>
        <v>0.52848203711579878</v>
      </c>
      <c r="L50" s="11" cm="1">
        <f t="array" aca="1" ref="L50" ca="1">ORhop($C$2,B50,$C$3,$C$4,$C$5,$C$6)</f>
        <v>-0.61485739547546581</v>
      </c>
    </row>
    <row r="51" spans="2:12" x14ac:dyDescent="0.25">
      <c r="B51" s="7">
        <v>120</v>
      </c>
      <c r="C51" s="10" cm="1">
        <f t="array" aca="1" ref="C51" ca="1">OptionPriceC($C$2,B51,$C$3,$C$4,$C$5,$C$6)</f>
        <v>46.489486823023519</v>
      </c>
      <c r="D51" s="10" cm="1">
        <f t="array" aca="1" ref="D51" ca="1">OptionPriceP($C$2,B51,$C$3,$C$4,$C$5,$C$6)</f>
        <v>24.824319521302293</v>
      </c>
      <c r="E51" s="17" cm="1">
        <f t="array" aca="1" ref="E51" ca="1">ODeltac($C$2,B51,$C$3,$C$4,$C$5,$C$6)</f>
        <v>0.72457125707708203</v>
      </c>
      <c r="F51" s="17" cm="1">
        <f t="array" aca="1" ref="F51" ca="1">ODeltaP($C$2,B51,$C$3,$C$4,$C$5,$C$6)</f>
        <v>-0.27542874292291797</v>
      </c>
      <c r="G51" s="17" cm="1">
        <f t="array" aca="1" ref="G51" ca="1">OGamma($C$2,B51,$C$3,$C$4,$C$5,$C$6)</f>
        <v>3.4672052915187008E-3</v>
      </c>
      <c r="H51" s="17" cm="1">
        <f t="array" aca="1" ref="H51" ca="1">OThetaC($C$2,B51,$C$3,$C$4,$C$5,$C$6)</f>
        <v>-18.190272783708473</v>
      </c>
      <c r="I51" s="17" cm="1">
        <f t="array" aca="1" ref="I51" ca="1">OThetaP($C$2,B51,$C$3,$C$4,$C$5,$C$6)</f>
        <v>-13.578483475777322</v>
      </c>
      <c r="J51" s="11" cm="1">
        <f t="array" aca="1" ref="J51" ca="1">OVega($C$2,B51,$C$3,$C$4,$C$5,$C$6)</f>
        <v>0.45734732563229652</v>
      </c>
      <c r="K51" s="11" cm="1">
        <f t="array" aca="1" ref="K51" ca="1">ORhoC($C$2,B51,$C$3,$C$4,$C$5,$C$6)</f>
        <v>0.52747720089127936</v>
      </c>
      <c r="L51" s="11" cm="1">
        <f t="array" aca="1" ref="L51" ca="1">ORhop($C$2,B51,$C$3,$C$4,$C$5,$C$6)</f>
        <v>-0.62547012609150854</v>
      </c>
    </row>
    <row r="52" spans="2:12" x14ac:dyDescent="0.25">
      <c r="B52" s="7">
        <v>121</v>
      </c>
      <c r="C52" s="10" cm="1">
        <f t="array" aca="1" ref="C52" ca="1">OptionPriceC($C$2,B52,$C$3,$C$4,$C$5,$C$6)</f>
        <v>46.052173529959141</v>
      </c>
      <c r="D52" s="10" cm="1">
        <f t="array" aca="1" ref="D52" ca="1">OptionPriceP($C$2,B52,$C$3,$C$4,$C$5,$C$6)</f>
        <v>25.347795667390244</v>
      </c>
      <c r="E52" s="17" cm="1">
        <f t="array" aca="1" ref="E52" ca="1">ODeltac($C$2,B52,$C$3,$C$4,$C$5,$C$6)</f>
        <v>0.72061660945708805</v>
      </c>
      <c r="F52" s="17" cm="1">
        <f t="array" aca="1" ref="F52" ca="1">ODeltaP($C$2,B52,$C$3,$C$4,$C$5,$C$6)</f>
        <v>-0.27938339054291195</v>
      </c>
      <c r="G52" s="17" cm="1">
        <f t="array" aca="1" ref="G52" ca="1">OGamma($C$2,B52,$C$3,$C$4,$C$5,$C$6)</f>
        <v>3.4914548942125501E-3</v>
      </c>
      <c r="H52" s="17" cm="1">
        <f t="array" aca="1" ref="H52" ca="1">OThetaC($C$2,B52,$C$3,$C$4,$C$5,$C$6)</f>
        <v>-18.298566111098658</v>
      </c>
      <c r="I52" s="17" cm="1">
        <f t="array" aca="1" ref="I52" ca="1">OThetaP($C$2,B52,$C$3,$C$4,$C$5,$C$6)</f>
        <v>-13.648345225601414</v>
      </c>
      <c r="J52" s="11" cm="1">
        <f t="array" aca="1" ref="J52" ca="1">OVega($C$2,B52,$C$3,$C$4,$C$5,$C$6)</f>
        <v>0.46054600872349005</v>
      </c>
      <c r="K52" s="11" cm="1">
        <f t="array" aca="1" ref="K52" ca="1">ORhoC($C$2,B52,$C$3,$C$4,$C$5,$C$6)</f>
        <v>0.52643405239622698</v>
      </c>
      <c r="L52" s="11" cm="1">
        <f t="array" aca="1" ref="L52" ca="1">ORhop($C$2,B52,$C$3,$C$4,$C$5,$C$6)</f>
        <v>-0.63612116897808402</v>
      </c>
    </row>
    <row r="53" spans="2:12" x14ac:dyDescent="0.25">
      <c r="B53" s="7">
        <v>122</v>
      </c>
      <c r="C53" s="10" cm="1">
        <f t="array" aca="1" ref="C53" ca="1">OptionPriceC($C$2,B53,$C$3,$C$4,$C$5,$C$6)</f>
        <v>45.619333493589259</v>
      </c>
      <c r="D53" s="10" cm="1">
        <f t="array" aca="1" ref="D53" ca="1">OptionPriceP($C$2,B53,$C$3,$C$4,$C$5,$C$6)</f>
        <v>25.875745070172677</v>
      </c>
      <c r="E53" s="17" cm="1">
        <f t="array" aca="1" ref="E53" ca="1">ODeltac($C$2,B53,$C$3,$C$4,$C$5,$C$6)</f>
        <v>0.71666746572494655</v>
      </c>
      <c r="F53" s="17" cm="1">
        <f t="array" aca="1" ref="F53" ca="1">ODeltaP($C$2,B53,$C$3,$C$4,$C$5,$C$6)</f>
        <v>-0.28333253427505345</v>
      </c>
      <c r="G53" s="17" cm="1">
        <f t="array" aca="1" ref="G53" ca="1">OGamma($C$2,B53,$C$3,$C$4,$C$5,$C$6)</f>
        <v>3.5151888380044126E-3</v>
      </c>
      <c r="H53" s="17" cm="1">
        <f t="array" aca="1" ref="H53" ca="1">OThetaC($C$2,B53,$C$3,$C$4,$C$5,$C$6)</f>
        <v>-18.404319114153893</v>
      </c>
      <c r="I53" s="17" cm="1">
        <f t="array" aca="1" ref="I53" ca="1">OThetaP($C$2,B53,$C$3,$C$4,$C$5,$C$6)</f>
        <v>-13.715666651090554</v>
      </c>
      <c r="J53" s="11" cm="1">
        <f t="array" aca="1" ref="J53" ca="1">OVega($C$2,B53,$C$3,$C$4,$C$5,$C$6)</f>
        <v>0.46367667299262572</v>
      </c>
      <c r="K53" s="11" cm="1">
        <f t="array" aca="1" ref="K53" ca="1">ORhoC($C$2,B53,$C$3,$C$4,$C$5,$C$6)</f>
        <v>0.52535370945352844</v>
      </c>
      <c r="L53" s="11" cm="1">
        <f t="array" aca="1" ref="L53" ca="1">ORhop($C$2,B53,$C$3,$C$4,$C$5,$C$6)</f>
        <v>-0.64680940631230566</v>
      </c>
    </row>
    <row r="54" spans="2:12" x14ac:dyDescent="0.25">
      <c r="B54" s="7">
        <v>123</v>
      </c>
      <c r="C54" s="10" cm="1">
        <f t="array" aca="1" ref="C54" ca="1">OptionPriceC($C$2,B54,$C$3,$C$4,$C$5,$C$6)</f>
        <v>45.190923595064604</v>
      </c>
      <c r="D54" s="10" cm="1">
        <f t="array" aca="1" ref="D54" ca="1">OptionPriceP($C$2,B54,$C$3,$C$4,$C$5,$C$6)</f>
        <v>26.408124610800357</v>
      </c>
      <c r="E54" s="17" cm="1">
        <f t="array" aca="1" ref="E54" ca="1">ODeltac($C$2,B54,$C$3,$C$4,$C$5,$C$6)</f>
        <v>0.71272431121738522</v>
      </c>
      <c r="F54" s="17" cm="1">
        <f t="array" aca="1" ref="F54" ca="1">ODeltaP($C$2,B54,$C$3,$C$4,$C$5,$C$6)</f>
        <v>-0.28727568878261478</v>
      </c>
      <c r="G54" s="17" cm="1">
        <f t="array" aca="1" ref="G54" ca="1">OGamma($C$2,B54,$C$3,$C$4,$C$5,$C$6)</f>
        <v>3.5384095525742764E-3</v>
      </c>
      <c r="H54" s="17" cm="1">
        <f t="array" aca="1" ref="H54" ca="1">OThetaC($C$2,B54,$C$3,$C$4,$C$5,$C$6)</f>
        <v>-18.507547444976396</v>
      </c>
      <c r="I54" s="17" cm="1">
        <f t="array" aca="1" ref="I54" ca="1">OThetaP($C$2,B54,$C$3,$C$4,$C$5,$C$6)</f>
        <v>-13.780463404346964</v>
      </c>
      <c r="J54" s="11" cm="1">
        <f t="array" aca="1" ref="J54" ca="1">OVega($C$2,B54,$C$3,$C$4,$C$5,$C$6)</f>
        <v>0.46673963893057463</v>
      </c>
      <c r="K54" s="11" cm="1">
        <f t="array" aca="1" ref="K54" ca="1">ORhoC($C$2,B54,$C$3,$C$4,$C$5,$C$6)</f>
        <v>0.52423726796837355</v>
      </c>
      <c r="L54" s="11" cm="1">
        <f t="array" aca="1" ref="L54" ca="1">ORhop($C$2,B54,$C$3,$C$4,$C$5,$C$6)</f>
        <v>-0.65753374218898397</v>
      </c>
    </row>
    <row r="55" spans="2:12" x14ac:dyDescent="0.25">
      <c r="B55" s="7">
        <v>124</v>
      </c>
      <c r="C55" s="10" cm="1">
        <f t="array" aca="1" ref="C55" ca="1">OptionPriceC($C$2,B55,$C$3,$C$4,$C$5,$C$6)</f>
        <v>44.766900884364176</v>
      </c>
      <c r="D55" s="10" cm="1">
        <f t="array" aca="1" ref="D55" ca="1">OptionPriceP($C$2,B55,$C$3,$C$4,$C$5,$C$6)</f>
        <v>26.944891339252258</v>
      </c>
      <c r="E55" s="17" cm="1">
        <f t="array" aca="1" ref="E55" ca="1">ODeltac($C$2,B55,$C$3,$C$4,$C$5,$C$6)</f>
        <v>0.70878761668711976</v>
      </c>
      <c r="F55" s="17" cm="1">
        <f t="array" aca="1" ref="F55" ca="1">ODeltaP($C$2,B55,$C$3,$C$4,$C$5,$C$6)</f>
        <v>-0.29121238331288024</v>
      </c>
      <c r="G55" s="17" cm="1">
        <f t="array" aca="1" ref="G55" ca="1">OGamma($C$2,B55,$C$3,$C$4,$C$5,$C$6)</f>
        <v>3.5611196459603006E-3</v>
      </c>
      <c r="H55" s="17" cm="1">
        <f t="array" aca="1" ref="H55" ca="1">OThetaC($C$2,B55,$C$3,$C$4,$C$5,$C$6)</f>
        <v>-18.608267496215991</v>
      </c>
      <c r="I55" s="17" cm="1">
        <f t="array" aca="1" ref="I55" ca="1">OThetaP($C$2,B55,$C$3,$C$4,$C$5,$C$6)</f>
        <v>-13.842751878020467</v>
      </c>
      <c r="J55" s="11" cm="1">
        <f t="array" aca="1" ref="J55" ca="1">OVega($C$2,B55,$C$3,$C$4,$C$5,$C$6)</f>
        <v>0.4697352505548314</v>
      </c>
      <c r="K55" s="11" cm="1">
        <f t="array" aca="1" ref="K55" ca="1">ORhoC($C$2,B55,$C$3,$C$4,$C$5,$C$6)</f>
        <v>0.52308580218342082</v>
      </c>
      <c r="L55" s="11" cm="1">
        <f t="array" aca="1" ref="L55" ca="1">ORhop($C$2,B55,$C$3,$C$4,$C$5,$C$6)</f>
        <v>-0.66829310236546013</v>
      </c>
    </row>
    <row r="56" spans="2:12" x14ac:dyDescent="0.25">
      <c r="B56" s="7">
        <v>125</v>
      </c>
      <c r="C56" s="10" cm="1">
        <f t="array" aca="1" ref="C56" ca="1">OptionPriceC($C$2,B56,$C$3,$C$4,$C$5,$C$6)</f>
        <v>44.347222592166531</v>
      </c>
      <c r="D56" s="10" cm="1">
        <f t="array" aca="1" ref="D56" ca="1">OptionPriceP($C$2,B56,$C$3,$C$4,$C$5,$C$6)</f>
        <v>27.486002486206942</v>
      </c>
      <c r="E56" s="17" cm="1">
        <f t="array" aca="1" ref="E56" ca="1">ODeltac($C$2,B56,$C$3,$C$4,$C$5,$C$6)</f>
        <v>0.70485783858042417</v>
      </c>
      <c r="F56" s="17" cm="1">
        <f t="array" aca="1" ref="F56" ca="1">ODeltaP($C$2,B56,$C$3,$C$4,$C$5,$C$6)</f>
        <v>-0.29514216141957583</v>
      </c>
      <c r="G56" s="17" cm="1">
        <f t="array" aca="1" ref="G56" ca="1">OGamma($C$2,B56,$C$3,$C$4,$C$5,$C$6)</f>
        <v>3.5833218951302976E-3</v>
      </c>
      <c r="H56" s="17" cm="1">
        <f t="array" aca="1" ref="H56" ca="1">OThetaC($C$2,B56,$C$3,$C$4,$C$5,$C$6)</f>
        <v>-18.706496358387859</v>
      </c>
      <c r="I56" s="17" cm="1">
        <f t="array" aca="1" ref="I56" ca="1">OThetaP($C$2,B56,$C$3,$C$4,$C$5,$C$6)</f>
        <v>-13.902549162626245</v>
      </c>
      <c r="J56" s="11" cm="1">
        <f t="array" aca="1" ref="J56" ca="1">OVega($C$2,B56,$C$3,$C$4,$C$5,$C$6)</f>
        <v>0.47266387416582967</v>
      </c>
      <c r="K56" s="11" cm="1">
        <f t="array" aca="1" ref="K56" ca="1">ORhoC($C$2,B56,$C$3,$C$4,$C$5,$C$6)</f>
        <v>0.52190036494024517</v>
      </c>
      <c r="L56" s="11" cm="1">
        <f t="array" aca="1" ref="L56" ca="1">ORhop($C$2,B56,$C$3,$C$4,$C$5,$C$6)</f>
        <v>-0.67908643400015911</v>
      </c>
    </row>
    <row r="57" spans="2:12" x14ac:dyDescent="0.25">
      <c r="B57" s="7">
        <v>126</v>
      </c>
      <c r="C57" s="10" cm="1">
        <f t="array" aca="1" ref="C57" ca="1">OptionPriceC($C$2,B57,$C$3,$C$4,$C$5,$C$6)</f>
        <v>43.931846141037497</v>
      </c>
      <c r="D57" s="10" cm="1">
        <f t="array" aca="1" ref="D57" ca="1">OptionPriceP($C$2,B57,$C$3,$C$4,$C$5,$C$6)</f>
        <v>28.031415474230229</v>
      </c>
      <c r="E57" s="17" cm="1">
        <f t="array" aca="1" ref="E57" ca="1">ODeltac($C$2,B57,$C$3,$C$4,$C$5,$C$6)</f>
        <v>0.70093541931375691</v>
      </c>
      <c r="F57" s="17" cm="1">
        <f t="array" aca="1" ref="F57" ca="1">ODeltaP($C$2,B57,$C$3,$C$4,$C$5,$C$6)</f>
        <v>-0.29906458068624309</v>
      </c>
      <c r="G57" s="17" cm="1">
        <f t="array" aca="1" ref="G57" ca="1">OGamma($C$2,B57,$C$3,$C$4,$C$5,$C$6)</f>
        <v>3.6050192368762041E-3</v>
      </c>
      <c r="H57" s="17" cm="1">
        <f t="array" aca="1" ref="H57" ca="1">OThetaC($C$2,B57,$C$3,$C$4,$C$5,$C$6)</f>
        <v>-18.802251778710492</v>
      </c>
      <c r="I57" s="17" cm="1">
        <f t="array" aca="1" ref="I57" ca="1">OThetaP($C$2,B57,$C$3,$C$4,$C$5,$C$6)</f>
        <v>-13.959873005382782</v>
      </c>
      <c r="J57" s="11" cm="1">
        <f t="array" aca="1" ref="J57" ca="1">OVega($C$2,B57,$C$3,$C$4,$C$5,$C$6)</f>
        <v>0.47552589714586319</v>
      </c>
      <c r="K57" s="11" cm="1">
        <f t="array" aca="1" ref="K57" ca="1">ORhoC($C$2,B57,$C$3,$C$4,$C$5,$C$6)</f>
        <v>0.52068198794632725</v>
      </c>
      <c r="L57" s="11" cm="1">
        <f t="array" aca="1" ref="L57" ca="1">ORhop($C$2,B57,$C$3,$C$4,$C$5,$C$6)</f>
        <v>-0.68991270538560012</v>
      </c>
    </row>
    <row r="58" spans="2:12" x14ac:dyDescent="0.25">
      <c r="B58" s="7">
        <v>127</v>
      </c>
      <c r="C58" s="10" cm="1">
        <f t="array" aca="1" ref="C58" ca="1">OptionPriceC($C$2,B58,$C$3,$C$4,$C$5,$C$6)</f>
        <v>43.520729155962677</v>
      </c>
      <c r="D58" s="10" cm="1">
        <f t="array" aca="1" ref="D58" ca="1">OptionPriceP($C$2,B58,$C$3,$C$4,$C$5,$C$6)</f>
        <v>28.581087928307717</v>
      </c>
      <c r="E58" s="17" cm="1">
        <f t="array" aca="1" ref="E58" ca="1">ODeltac($C$2,B58,$C$3,$C$4,$C$5,$C$6)</f>
        <v>0.69702078754913854</v>
      </c>
      <c r="F58" s="17" cm="1">
        <f t="array" aca="1" ref="F58" ca="1">ODeltaP($C$2,B58,$C$3,$C$4,$C$5,$C$6)</f>
        <v>-0.30297921245086146</v>
      </c>
      <c r="G58" s="17" cm="1">
        <f t="array" aca="1" ref="G58" ca="1">OGamma($C$2,B58,$C$3,$C$4,$C$5,$C$6)</f>
        <v>3.6262147590239179E-3</v>
      </c>
      <c r="H58" s="17" cm="1">
        <f t="array" aca="1" ref="H58" ca="1">OThetaC($C$2,B58,$C$3,$C$4,$C$5,$C$6)</f>
        <v>-18.89555212142556</v>
      </c>
      <c r="I58" s="17" cm="1">
        <f t="array" aca="1" ref="I58" ca="1">OThetaP($C$2,B58,$C$3,$C$4,$C$5,$C$6)</f>
        <v>-14.014741770531758</v>
      </c>
      <c r="J58" s="11" cm="1">
        <f t="array" aca="1" ref="J58" ca="1">OVega($C$2,B58,$C$3,$C$4,$C$5,$C$6)</f>
        <v>0.47832172679960461</v>
      </c>
      <c r="K58" s="11" cm="1">
        <f t="array" aca="1" ref="K58" ca="1">ORhoC($C$2,B58,$C$3,$C$4,$C$5,$C$6)</f>
        <v>0.51943168204688583</v>
      </c>
      <c r="L58" s="11" cm="1">
        <f t="array" aca="1" ref="L58" ca="1">ORhop($C$2,B58,$C$3,$C$4,$C$5,$C$6)</f>
        <v>-0.70077090567656475</v>
      </c>
    </row>
    <row r="59" spans="2:12" x14ac:dyDescent="0.25">
      <c r="B59" s="7">
        <v>128</v>
      </c>
      <c r="C59" s="10" cm="1">
        <f t="array" aca="1" ref="C59" ca="1">OptionPriceC($C$2,B59,$C$3,$C$4,$C$5,$C$6)</f>
        <v>43.113829474251972</v>
      </c>
      <c r="D59" s="10" cm="1">
        <f t="array" aca="1" ref="D59" ca="1">OptionPriceP($C$2,B59,$C$3,$C$4,$C$5,$C$6)</f>
        <v>29.134977685749341</v>
      </c>
      <c r="E59" s="17" cm="1">
        <f t="array" aca="1" ref="E59" ca="1">ODeltac($C$2,B59,$C$3,$C$4,$C$5,$C$6)</f>
        <v>0.69311435846800828</v>
      </c>
      <c r="F59" s="17" cm="1">
        <f t="array" aca="1" ref="F59" ca="1">ODeltaP($C$2,B59,$C$3,$C$4,$C$5,$C$6)</f>
        <v>-0.30688564153199172</v>
      </c>
      <c r="G59" s="17" cm="1">
        <f t="array" aca="1" ref="G59" ca="1">OGamma($C$2,B59,$C$3,$C$4,$C$5,$C$6)</f>
        <v>3.6469116919507919E-3</v>
      </c>
      <c r="H59" s="17" cm="1">
        <f t="array" aca="1" ref="H59" ca="1">OThetaC($C$2,B59,$C$3,$C$4,$C$5,$C$6)</f>
        <v>-18.986416329561489</v>
      </c>
      <c r="I59" s="17" cm="1">
        <f t="array" aca="1" ref="I59" ca="1">OThetaP($C$2,B59,$C$3,$C$4,$C$5,$C$6)</f>
        <v>-14.067174401101594</v>
      </c>
      <c r="J59" s="11" cm="1">
        <f t="array" aca="1" ref="J59" ca="1">OVega($C$2,B59,$C$3,$C$4,$C$5,$C$6)</f>
        <v>0.48105178923520692</v>
      </c>
      <c r="K59" s="11" cm="1">
        <f t="array" aca="1" ref="K59" ca="1">ORhoC($C$2,B59,$C$3,$C$4,$C$5,$C$6)</f>
        <v>0.51815043750090595</v>
      </c>
      <c r="L59" s="11" cm="1">
        <f t="array" aca="1" ref="L59" ca="1">ORhop($C$2,B59,$C$3,$C$4,$C$5,$C$6)</f>
        <v>-0.71166004461406773</v>
      </c>
    </row>
    <row r="60" spans="2:12" x14ac:dyDescent="0.25">
      <c r="B60" s="7">
        <v>129</v>
      </c>
      <c r="C60" s="10" cm="1">
        <f t="array" aca="1" ref="C60" ca="1">OptionPriceC($C$2,B60,$C$3,$C$4,$C$5,$C$6)</f>
        <v>42.711105154842478</v>
      </c>
      <c r="D60" s="10" cm="1">
        <f t="array" aca="1" ref="D60" ca="1">OptionPriceP($C$2,B60,$C$3,$C$4,$C$5,$C$6)</f>
        <v>29.693042805492169</v>
      </c>
      <c r="E60" s="17" cm="1">
        <f t="array" aca="1" ref="E60" ca="1">ODeltac($C$2,B60,$C$3,$C$4,$C$5,$C$6)</f>
        <v>0.68921653404330452</v>
      </c>
      <c r="F60" s="17" cm="1">
        <f t="array" aca="1" ref="F60" ca="1">ODeltaP($C$2,B60,$C$3,$C$4,$C$5,$C$6)</f>
        <v>-0.31078346595669548</v>
      </c>
      <c r="G60" s="17" cm="1">
        <f t="array" aca="1" ref="G60" ca="1">OGamma($C$2,B60,$C$3,$C$4,$C$5,$C$6)</f>
        <v>3.6671134004030988E-3</v>
      </c>
      <c r="H60" s="17" cm="1">
        <f t="array" aca="1" ref="H60" ca="1">OThetaC($C$2,B60,$C$3,$C$4,$C$5,$C$6)</f>
        <v>-19.074863888102566</v>
      </c>
      <c r="I60" s="17" cm="1">
        <f t="array" aca="1" ref="I60" ca="1">OThetaP($C$2,B60,$C$3,$C$4,$C$5,$C$6)</f>
        <v>-14.117190382076577</v>
      </c>
      <c r="J60" s="11" cm="1">
        <f t="array" aca="1" ref="J60" ca="1">OVega($C$2,B60,$C$3,$C$4,$C$5,$C$6)</f>
        <v>0.48371652828497314</v>
      </c>
      <c r="K60" s="11" cm="1">
        <f t="array" aca="1" ref="K60" ca="1">ORhoC($C$2,B60,$C$3,$C$4,$C$5,$C$6)</f>
        <v>0.51683922426075113</v>
      </c>
      <c r="L60" s="11" cm="1">
        <f t="array" aca="1" ref="L60" ca="1">ORhop($C$2,B60,$C$3,$C$4,$C$5,$C$6)</f>
        <v>-0.72257915224574587</v>
      </c>
    </row>
    <row r="61" spans="2:12" x14ac:dyDescent="0.25">
      <c r="B61" s="7">
        <v>130</v>
      </c>
      <c r="C61" s="10" cm="1">
        <f t="array" aca="1" ref="C61" ca="1">OptionPriceC($C$2,B61,$C$3,$C$4,$C$5,$C$6)</f>
        <v>42.312514487025098</v>
      </c>
      <c r="D61" s="10" cm="1">
        <f t="array" aca="1" ref="D61" ca="1">OptionPriceP($C$2,B61,$C$3,$C$4,$C$5,$C$6)</f>
        <v>30.255241576827096</v>
      </c>
      <c r="E61" s="17" cm="1">
        <f t="array" aca="1" ref="E61" ca="1">ODeltac($C$2,B61,$C$3,$C$4,$C$5,$C$6)</f>
        <v>0.68532770330953929</v>
      </c>
      <c r="F61" s="17" cm="1">
        <f t="array" aca="1" ref="F61" ca="1">ODeltaP($C$2,B61,$C$3,$C$4,$C$5,$C$6)</f>
        <v>-0.31467229669046071</v>
      </c>
      <c r="G61" s="17" cm="1">
        <f t="array" aca="1" ref="G61" ca="1">OGamma($C$2,B61,$C$3,$C$4,$C$5,$C$6)</f>
        <v>3.6868233756058013E-3</v>
      </c>
      <c r="H61" s="17" cm="1">
        <f t="array" aca="1" ref="H61" ca="1">OThetaC($C$2,B61,$C$3,$C$4,$C$5,$C$6)</f>
        <v>-19.16091478852579</v>
      </c>
      <c r="I61" s="17" cm="1">
        <f t="array" aca="1" ref="I61" ca="1">OThetaP($C$2,B61,$C$3,$C$4,$C$5,$C$6)</f>
        <v>-14.164809704933708</v>
      </c>
      <c r="J61" s="11" cm="1">
        <f t="array" aca="1" ref="J61" ca="1">OVega($C$2,B61,$C$3,$C$4,$C$5,$C$6)</f>
        <v>0.48631640446458252</v>
      </c>
      <c r="K61" s="11" cm="1">
        <f t="array" aca="1" ref="K61" ca="1">ORhoC($C$2,B61,$C$3,$C$4,$C$5,$C$6)</f>
        <v>0.51549899225479079</v>
      </c>
      <c r="L61" s="11" cm="1">
        <f t="array" aca="1" ref="L61" ca="1">ORhop($C$2,B61,$C$3,$C$4,$C$5,$C$6)</f>
        <v>-0.73352727864322931</v>
      </c>
    </row>
    <row r="62" spans="2:12" x14ac:dyDescent="0.25">
      <c r="B62" s="7">
        <v>131</v>
      </c>
      <c r="C62" s="10" cm="1">
        <f t="array" aca="1" ref="C62" ca="1">OptionPriceC($C$2,B62,$C$3,$C$4,$C$5,$C$6)</f>
        <v>41.918015998619126</v>
      </c>
      <c r="D62" s="10" cm="1">
        <f t="array" aca="1" ref="D62" ca="1">OptionPriceP($C$2,B62,$C$3,$C$4,$C$5,$C$6)</f>
        <v>30.821532527573453</v>
      </c>
      <c r="E62" s="17" cm="1">
        <f t="array" aca="1" ref="E62" ca="1">ODeltac($C$2,B62,$C$3,$C$4,$C$5,$C$6)</f>
        <v>0.68144824263065595</v>
      </c>
      <c r="F62" s="17" cm="1">
        <f t="array" aca="1" ref="F62" ca="1">ODeltaP($C$2,B62,$C$3,$C$4,$C$5,$C$6)</f>
        <v>-0.31855175736934405</v>
      </c>
      <c r="G62" s="17" cm="1">
        <f t="array" aca="1" ref="G62" ca="1">OGamma($C$2,B62,$C$3,$C$4,$C$5,$C$6)</f>
        <v>3.7060452276569851E-3</v>
      </c>
      <c r="H62" s="17" cm="1">
        <f t="array" aca="1" ref="H62" ca="1">OThetaC($C$2,B62,$C$3,$C$4,$C$5,$C$6)</f>
        <v>-19.244589494667849</v>
      </c>
      <c r="I62" s="17" cm="1">
        <f t="array" aca="1" ref="I62" ca="1">OThetaP($C$2,B62,$C$3,$C$4,$C$5,$C$6)</f>
        <v>-14.210052833509675</v>
      </c>
      <c r="J62" s="11" cm="1">
        <f t="array" aca="1" ref="J62" ca="1">OVega($C$2,B62,$C$3,$C$4,$C$5,$C$6)</f>
        <v>0.48885189396986584</v>
      </c>
      <c r="K62" s="11" cm="1">
        <f t="array" aca="1" ref="K62" ca="1">ORhoC($C$2,B62,$C$3,$C$4,$C$5,$C$6)</f>
        <v>0.51413067167251258</v>
      </c>
      <c r="L62" s="11" cm="1">
        <f t="array" aca="1" ref="L62" ca="1">ORhop($C$2,B62,$C$3,$C$4,$C$5,$C$6)</f>
        <v>-0.74450349361703072</v>
      </c>
    </row>
    <row r="63" spans="2:12" x14ac:dyDescent="0.25">
      <c r="B63" s="7">
        <v>132</v>
      </c>
      <c r="C63" s="10" cm="1">
        <f t="array" aca="1" ref="C63" ca="1">OptionPriceC($C$2,B63,$C$3,$C$4,$C$5,$C$6)</f>
        <v>41.527568463618529</v>
      </c>
      <c r="D63" s="10" cm="1">
        <f t="array" aca="1" ref="D63" ca="1">OptionPriceP($C$2,B63,$C$3,$C$4,$C$5,$C$6)</f>
        <v>31.391874431725185</v>
      </c>
      <c r="E63" s="17" cm="1">
        <f t="array" aca="1" ref="E63" ca="1">ODeltac($C$2,B63,$C$3,$C$4,$C$5,$C$6)</f>
        <v>0.67757851596547858</v>
      </c>
      <c r="F63" s="17" cm="1">
        <f t="array" aca="1" ref="F63" ca="1">ODeltaP($C$2,B63,$C$3,$C$4,$C$5,$C$6)</f>
        <v>-0.32242148403452142</v>
      </c>
      <c r="G63" s="17" cm="1">
        <f t="array" aca="1" ref="G63" ca="1">OGamma($C$2,B63,$C$3,$C$4,$C$5,$C$6)</f>
        <v>3.7247826781993559E-3</v>
      </c>
      <c r="H63" s="17" cm="1">
        <f t="array" aca="1" ref="H63" ca="1">OThetaC($C$2,B63,$C$3,$C$4,$C$5,$C$6)</f>
        <v>-19.325908909885065</v>
      </c>
      <c r="I63" s="17" cm="1">
        <f t="array" aca="1" ref="I63" ca="1">OThetaP($C$2,B63,$C$3,$C$4,$C$5,$C$6)</f>
        <v>-14.252940671160797</v>
      </c>
      <c r="J63" s="11" cm="1">
        <f t="array" aca="1" ref="J63" ca="1">OVega($C$2,B63,$C$3,$C$4,$C$5,$C$6)</f>
        <v>0.49132348771012779</v>
      </c>
      <c r="K63" s="11" cm="1">
        <f t="array" aca="1" ref="K63" ca="1">ORhoC($C$2,B63,$C$3,$C$4,$C$5,$C$6)</f>
        <v>0.51273517325161833</v>
      </c>
      <c r="L63" s="11" cm="1">
        <f t="array" aca="1" ref="L63" ca="1">ORhop($C$2,B63,$C$3,$C$4,$C$5,$C$6)</f>
        <v>-0.75550688642944841</v>
      </c>
    </row>
    <row r="64" spans="2:12" x14ac:dyDescent="0.25">
      <c r="B64" s="7">
        <v>133</v>
      </c>
      <c r="C64" s="10" cm="1">
        <f t="array" aca="1" ref="C64" ca="1">OptionPriceC($C$2,B64,$C$3,$C$4,$C$5,$C$6)</f>
        <v>41.141130909332311</v>
      </c>
      <c r="D64" s="10" cm="1">
        <f t="array" aca="1" ref="D64" ca="1">OptionPriceP($C$2,B64,$C$3,$C$4,$C$5,$C$6)</f>
        <v>31.966226316591289</v>
      </c>
      <c r="E64" s="17" cm="1">
        <f t="array" aca="1" ref="E64" ca="1">ODeltac($C$2,B64,$C$3,$C$4,$C$5,$C$6)</f>
        <v>0.67371887513057982</v>
      </c>
      <c r="F64" s="17" cm="1">
        <f t="array" aca="1" ref="F64" ca="1">ODeltaP($C$2,B64,$C$3,$C$4,$C$5,$C$6)</f>
        <v>-0.32628112486942018</v>
      </c>
      <c r="G64" s="17" cm="1">
        <f t="array" aca="1" ref="G64" ca="1">OGamma($C$2,B64,$C$3,$C$4,$C$5,$C$6)</f>
        <v>3.7430395533612965E-3</v>
      </c>
      <c r="H64" s="17" cm="1">
        <f t="array" aca="1" ref="H64" ca="1">OThetaC($C$2,B64,$C$3,$C$4,$C$5,$C$6)</f>
        <v>-19.404894345469557</v>
      </c>
      <c r="I64" s="17" cm="1">
        <f t="array" aca="1" ref="I64" ca="1">OThetaP($C$2,B64,$C$3,$C$4,$C$5,$C$6)</f>
        <v>-14.293494529179197</v>
      </c>
      <c r="J64" s="11" cm="1">
        <f t="array" aca="1" ref="J64" ca="1">OVega($C$2,B64,$C$3,$C$4,$C$5,$C$6)</f>
        <v>0.49373169037702519</v>
      </c>
      <c r="K64" s="11" cm="1">
        <f t="array" aca="1" ref="K64" ca="1">ORhoC($C$2,B64,$C$3,$C$4,$C$5,$C$6)</f>
        <v>0.51131338856664388</v>
      </c>
      <c r="L64" s="11" cm="1">
        <f t="array" aca="1" ref="L64" ca="1">ORhop($C$2,B64,$C$3,$C$4,$C$5,$C$6)</f>
        <v>-0.76653656550594595</v>
      </c>
    </row>
    <row r="65" spans="2:12" x14ac:dyDescent="0.25">
      <c r="B65" s="7">
        <v>134</v>
      </c>
      <c r="C65" s="10" cm="1">
        <f t="array" aca="1" ref="C65" ca="1">OptionPriceC($C$2,B65,$C$3,$C$4,$C$5,$C$6)</f>
        <v>40.758662623040834</v>
      </c>
      <c r="D65" s="10" cm="1">
        <f t="array" aca="1" ref="D65" ca="1">OptionPriceP($C$2,B65,$C$3,$C$4,$C$5,$C$6)</f>
        <v>32.544547469452155</v>
      </c>
      <c r="E65" s="17" cm="1">
        <f t="array" aca="1" ref="E65" ca="1">ODeltac($C$2,B65,$C$3,$C$4,$C$5,$C$6)</f>
        <v>0.66986966006041082</v>
      </c>
      <c r="F65" s="17" cm="1">
        <f t="array" aca="1" ref="F65" ca="1">ODeltaP($C$2,B65,$C$3,$C$4,$C$5,$C$6)</f>
        <v>-0.33013033993958918</v>
      </c>
      <c r="G65" s="17" cm="1">
        <f t="array" aca="1" ref="G65" ca="1">OGamma($C$2,B65,$C$3,$C$4,$C$5,$C$6)</f>
        <v>3.7608197769599962E-3</v>
      </c>
      <c r="H65" s="17" cm="1">
        <f t="array" aca="1" ref="H65" ca="1">OThetaC($C$2,B65,$C$3,$C$4,$C$5,$C$6)</f>
        <v>-19.481567490285268</v>
      </c>
      <c r="I65" s="17" cm="1">
        <f t="array" aca="1" ref="I65" ca="1">OThetaP($C$2,B65,$C$3,$C$4,$C$5,$C$6)</f>
        <v>-14.331736096428818</v>
      </c>
      <c r="J65" s="11" cm="1">
        <f t="array" aca="1" ref="J65" ca="1">OVega($C$2,B65,$C$3,$C$4,$C$5,$C$6)</f>
        <v>0.49607701954801514</v>
      </c>
      <c r="K65" s="11" cm="1">
        <f t="array" aca="1" ref="K65" ca="1">ORhoC($C$2,B65,$C$3,$C$4,$C$5,$C$6)</f>
        <v>0.5098661903186702</v>
      </c>
      <c r="L65" s="11" cm="1">
        <f t="array" aca="1" ref="L65" ca="1">ORhop($C$2,B65,$C$3,$C$4,$C$5,$C$6)</f>
        <v>-0.77759165814544295</v>
      </c>
    </row>
    <row r="66" spans="2:12" x14ac:dyDescent="0.25">
      <c r="B66" s="7">
        <v>135</v>
      </c>
      <c r="C66" s="10" cm="1">
        <f t="array" aca="1" ref="C66" ca="1">OptionPriceC($C$2,B66,$C$3,$C$4,$C$5,$C$6)</f>
        <v>40.380123158188987</v>
      </c>
      <c r="D66" s="10" cm="1">
        <f t="array" aca="1" ref="D66" ca="1">OptionPriceP($C$2,B66,$C$3,$C$4,$C$5,$C$6)</f>
        <v>33.126797443752587</v>
      </c>
      <c r="E66" s="17" cm="1">
        <f t="array" aca="1" ref="E66" ca="1">ODeltac($C$2,B66,$C$3,$C$4,$C$5,$C$6)</f>
        <v>0.66603119906455066</v>
      </c>
      <c r="F66" s="17" cm="1">
        <f t="array" aca="1" ref="F66" ca="1">ODeltaP($C$2,B66,$C$3,$C$4,$C$5,$C$6)</f>
        <v>-0.33396880093544934</v>
      </c>
      <c r="G66" s="17" cm="1">
        <f t="array" aca="1" ref="G66" ca="1">OGamma($C$2,B66,$C$3,$C$4,$C$5,$C$6)</f>
        <v>3.7781273639593297E-3</v>
      </c>
      <c r="H66" s="17" cm="1">
        <f t="array" aca="1" ref="H66" ca="1">OThetaC($C$2,B66,$C$3,$C$4,$C$5,$C$6)</f>
        <v>-19.555950381588197</v>
      </c>
      <c r="I66" s="17" cm="1">
        <f t="array" aca="1" ref="I66" ca="1">OThetaP($C$2,B66,$C$3,$C$4,$C$5,$C$6)</f>
        <v>-14.367687410165651</v>
      </c>
      <c r="J66" s="11" cm="1">
        <f t="array" aca="1" ref="J66" ca="1">OVega($C$2,B66,$C$3,$C$4,$C$5,$C$6)</f>
        <v>0.49836000482340576</v>
      </c>
      <c r="K66" s="11" cm="1">
        <f t="array" aca="1" ref="K66" ca="1">ORhoC($C$2,B66,$C$3,$C$4,$C$5,$C$6)</f>
        <v>0.50839443262571971</v>
      </c>
      <c r="L66" s="11" cm="1">
        <f t="array" aca="1" ref="L66" ca="1">ORhop($C$2,B66,$C$3,$C$4,$C$5,$C$6)</f>
        <v>-0.78867131022991643</v>
      </c>
    </row>
    <row r="67" spans="2:12" x14ac:dyDescent="0.25">
      <c r="B67" s="7">
        <v>136</v>
      </c>
      <c r="C67" s="10" cm="1">
        <f t="array" aca="1" ref="C67" ca="1">OptionPriceC($C$2,B67,$C$3,$C$4,$C$5,$C$6)</f>
        <v>40.005472340136286</v>
      </c>
      <c r="D67" s="10" cm="1">
        <f t="array" aca="1" ref="D67" ca="1">OptionPriceP($C$2,B67,$C$3,$C$4,$C$5,$C$6)</f>
        <v>33.712936064852222</v>
      </c>
      <c r="E67" s="17" cm="1">
        <f t="array" aca="1" ref="E67" ca="1">ODeltac($C$2,B67,$C$3,$C$4,$C$5,$C$6)</f>
        <v>0.66220380908195142</v>
      </c>
      <c r="F67" s="17" cm="1">
        <f t="array" aca="1" ref="F67" ca="1">ODeltaP($C$2,B67,$C$3,$C$4,$C$5,$C$6)</f>
        <v>-0.33779619091804858</v>
      </c>
      <c r="G67" s="17" cm="1">
        <f t="array" aca="1" ref="G67" ca="1">OGamma($C$2,B67,$C$3,$C$4,$C$5,$C$6)</f>
        <v>3.794966414175178E-3</v>
      </c>
      <c r="H67" s="17" cm="1">
        <f t="array" aca="1" ref="H67" ca="1">OThetaC($C$2,B67,$C$3,$C$4,$C$5,$C$6)</f>
        <v>-19.628065376995465</v>
      </c>
      <c r="I67" s="17" cm="1">
        <f t="array" aca="1" ref="I67" ca="1">OThetaP($C$2,B67,$C$3,$C$4,$C$5,$C$6)</f>
        <v>-14.401370828006829</v>
      </c>
      <c r="J67" s="11" cm="1">
        <f t="array" aca="1" ref="J67" ca="1">OVega($C$2,B67,$C$3,$C$4,$C$5,$C$6)</f>
        <v>0.50058118699604626</v>
      </c>
      <c r="K67" s="11" cm="1">
        <f t="array" aca="1" ref="K67" ca="1">ORhoC($C$2,B67,$C$3,$C$4,$C$5,$C$6)</f>
        <v>0.50689895131346885</v>
      </c>
      <c r="L67" s="11" cm="1">
        <f t="array" aca="1" ref="L67" ca="1">ORhop($C$2,B67,$C$3,$C$4,$C$5,$C$6)</f>
        <v>-0.79977468593369072</v>
      </c>
    </row>
    <row r="68" spans="2:12" x14ac:dyDescent="0.25">
      <c r="B68" s="7">
        <v>137</v>
      </c>
      <c r="C68" s="10" cm="1">
        <f t="array" aca="1" ref="C68" ca="1">OptionPriceC($C$2,B68,$C$3,$C$4,$C$5,$C$6)</f>
        <v>39.634670271483593</v>
      </c>
      <c r="D68" s="10" cm="1">
        <f t="array" aca="1" ref="D68" ca="1">OptionPriceP($C$2,B68,$C$3,$C$4,$C$5,$C$6)</f>
        <v>34.302923435351858</v>
      </c>
      <c r="E68" s="17" cm="1">
        <f t="array" aca="1" ref="E68" ca="1">ODeltac($C$2,B68,$C$3,$C$4,$C$5,$C$6)</f>
        <v>0.65838779593206476</v>
      </c>
      <c r="F68" s="17" cm="1">
        <f t="array" aca="1" ref="F68" ca="1">ODeltaP($C$2,B68,$C$3,$C$4,$C$5,$C$6)</f>
        <v>-0.34161220406793524</v>
      </c>
      <c r="G68" s="17" cm="1">
        <f t="array" aca="1" ref="G68" ca="1">OGamma($C$2,B68,$C$3,$C$4,$C$5,$C$6)</f>
        <v>3.8113411062210482E-3</v>
      </c>
      <c r="H68" s="17" cm="1">
        <f t="array" aca="1" ref="H68" ca="1">OThetaC($C$2,B68,$C$3,$C$4,$C$5,$C$6)</f>
        <v>-19.697935127568797</v>
      </c>
      <c r="I68" s="17" cm="1">
        <f t="array" aca="1" ref="I68" ca="1">OThetaP($C$2,B68,$C$3,$C$4,$C$5,$C$6)</f>
        <v>-14.432809001014064</v>
      </c>
      <c r="J68" s="11" cm="1">
        <f t="array" aca="1" ref="J68" ca="1">OVega($C$2,B68,$C$3,$C$4,$C$5,$C$6)</f>
        <v>0.50274111725271442</v>
      </c>
      <c r="K68" s="11" cm="1">
        <f t="array" aca="1" ref="K68" ca="1">ORhoC($C$2,B68,$C$3,$C$4,$C$5,$C$6)</f>
        <v>0.50538056420592403</v>
      </c>
      <c r="L68" s="11" cm="1">
        <f t="array" aca="1" ref="L68" ca="1">ORhop($C$2,B68,$C$3,$C$4,$C$5,$C$6)</f>
        <v>-0.81090096743275863</v>
      </c>
    </row>
    <row r="69" spans="2:12" x14ac:dyDescent="0.25">
      <c r="B69" s="7">
        <v>138</v>
      </c>
      <c r="C69" s="10" cm="1">
        <f t="array" aca="1" ref="C69" ca="1">OptionPriceC($C$2,B69,$C$3,$C$4,$C$5,$C$6)</f>
        <v>39.267677336994574</v>
      </c>
      <c r="D69" s="10" cm="1">
        <f t="array" aca="1" ref="D69" ca="1">OptionPriceP($C$2,B69,$C$3,$C$4,$C$5,$C$6)</f>
        <v>34.896719940015153</v>
      </c>
      <c r="E69" s="17" cm="1">
        <f t="array" aca="1" ref="E69" ca="1">ODeltac($C$2,B69,$C$3,$C$4,$C$5,$C$6)</f>
        <v>0.65458345456275002</v>
      </c>
      <c r="F69" s="17" cm="1">
        <f t="array" aca="1" ref="F69" ca="1">ODeltaP($C$2,B69,$C$3,$C$4,$C$5,$C$6)</f>
        <v>-0.34541654543724998</v>
      </c>
      <c r="G69" s="17" cm="1">
        <f t="array" aca="1" ref="G69" ca="1">OGamma($C$2,B69,$C$3,$C$4,$C$5,$C$6)</f>
        <v>3.8272556916869311E-3</v>
      </c>
      <c r="H69" s="17" cm="1">
        <f t="array" aca="1" ref="H69" ca="1">OThetaC($C$2,B69,$C$3,$C$4,$C$5,$C$6)</f>
        <v>-19.765582551978184</v>
      </c>
      <c r="I69" s="17" cm="1">
        <f t="array" aca="1" ref="I69" ca="1">OThetaP($C$2,B69,$C$3,$C$4,$C$5,$C$6)</f>
        <v>-14.462024847857361</v>
      </c>
      <c r="J69" s="11" cm="1">
        <f t="array" aca="1" ref="J69" ca="1">OVega($C$2,B69,$C$3,$C$4,$C$5,$C$6)</f>
        <v>0.50484035640626912</v>
      </c>
      <c r="K69" s="11" cm="1">
        <f t="array" aca="1" ref="K69" ca="1">ORhoC($C$2,B69,$C$3,$C$4,$C$5,$C$6)</f>
        <v>0.50384007141574227</v>
      </c>
      <c r="L69" s="11" cm="1">
        <f t="array" aca="1" ref="L69" ca="1">ORhop($C$2,B69,$C$3,$C$4,$C$5,$C$6)</f>
        <v>-0.82204935461446371</v>
      </c>
    </row>
    <row r="70" spans="2:12" x14ac:dyDescent="0.25">
      <c r="B70" s="7">
        <v>139</v>
      </c>
      <c r="C70" s="10" cm="1">
        <f t="array" aca="1" ref="C70" ca="1">OptionPriceC($C$2,B70,$C$3,$C$4,$C$5,$C$6)</f>
        <v>38.904454208130119</v>
      </c>
      <c r="D70" s="10" cm="1">
        <f t="array" aca="1" ref="D70" ca="1">OptionPriceP($C$2,B70,$C$3,$C$4,$C$5,$C$6)</f>
        <v>35.494286250303048</v>
      </c>
      <c r="E70" s="17" cm="1">
        <f t="array" aca="1" ref="E70" ca="1">ODeltac($C$2,B70,$C$3,$C$4,$C$5,$C$6)</f>
        <v>0.65079106929487707</v>
      </c>
      <c r="F70" s="17" cm="1">
        <f t="array" aca="1" ref="F70" ca="1">ODeltaP($C$2,B70,$C$3,$C$4,$C$5,$C$6)</f>
        <v>-0.34920893070512293</v>
      </c>
      <c r="G70" s="17" cm="1">
        <f t="array" aca="1" ref="G70" ca="1">OGamma($C$2,B70,$C$3,$C$4,$C$5,$C$6)</f>
        <v>3.8427144895444598E-3</v>
      </c>
      <c r="H70" s="17" cm="1">
        <f t="array" aca="1" ref="H70" ca="1">OThetaC($C$2,B70,$C$3,$C$4,$C$5,$C$6)</f>
        <v>-19.831030811712552</v>
      </c>
      <c r="I70" s="17" cm="1">
        <f t="array" aca="1" ref="I70" ca="1">OThetaP($C$2,B70,$C$3,$C$4,$C$5,$C$6)</f>
        <v>-14.489041530025634</v>
      </c>
      <c r="J70" s="11" cm="1">
        <f t="array" aca="1" ref="J70" ca="1">OVega($C$2,B70,$C$3,$C$4,$C$5,$C$6)</f>
        <v>0.50687947415765389</v>
      </c>
      <c r="K70" s="11" cm="1">
        <f t="array" aca="1" ref="K70" ca="1">ORhoC($C$2,B70,$C$3,$C$4,$C$5,$C$6)</f>
        <v>0.50227825563389317</v>
      </c>
      <c r="L70" s="11" cm="1">
        <f t="array" aca="1" ref="L70" ca="1">ORhop($C$2,B70,$C$3,$C$4,$C$5,$C$6)</f>
        <v>-0.83321906478783614</v>
      </c>
    </row>
    <row r="71" spans="2:12" x14ac:dyDescent="0.25">
      <c r="B71" s="7">
        <v>140</v>
      </c>
      <c r="C71" s="10" cm="1">
        <f t="array" aca="1" ref="C71" ca="1">OptionPriceC($C$2,B71,$C$3,$C$4,$C$5,$C$6)</f>
        <v>38.54496184721318</v>
      </c>
      <c r="D71" s="10" cm="1">
        <f t="array" aca="1" ref="D71" ca="1">OptionPriceP($C$2,B71,$C$3,$C$4,$C$5,$C$6)</f>
        <v>36.095583328538403</v>
      </c>
      <c r="E71" s="17" cm="1">
        <f t="array" aca="1" ref="E71" ca="1">ODeltac($C$2,B71,$C$3,$C$4,$C$5,$C$6)</f>
        <v>0.6470109140635466</v>
      </c>
      <c r="F71" s="17" cm="1">
        <f t="array" aca="1" ref="F71" ca="1">ODeltaP($C$2,B71,$C$3,$C$4,$C$5,$C$6)</f>
        <v>-0.3529890859364534</v>
      </c>
      <c r="G71" s="17" cm="1">
        <f t="array" aca="1" ref="G71" ca="1">OGamma($C$2,B71,$C$3,$C$4,$C$5,$C$6)</f>
        <v>3.8577218807715552E-3</v>
      </c>
      <c r="H71" s="17" cm="1">
        <f t="array" aca="1" ref="H71" ca="1">OThetaC($C$2,B71,$C$3,$C$4,$C$5,$C$6)</f>
        <v>-19.894303287304613</v>
      </c>
      <c r="I71" s="17" cm="1">
        <f t="array" aca="1" ref="I71" ca="1">OThetaP($C$2,B71,$C$3,$C$4,$C$5,$C$6)</f>
        <v>-14.513882428051604</v>
      </c>
      <c r="J71" s="11" cm="1">
        <f t="array" aca="1" ref="J71" ca="1">OVega($C$2,B71,$C$3,$C$4,$C$5,$C$6)</f>
        <v>0.50885904838685203</v>
      </c>
      <c r="K71" s="11" cm="1">
        <f t="array" aca="1" ref="K71" ca="1">ORhoC($C$2,B71,$C$3,$C$4,$C$5,$C$6)</f>
        <v>0.50069588241838769</v>
      </c>
      <c r="L71" s="11" cm="1">
        <f t="array" aca="1" ref="L71" ca="1">ORhop($C$2,B71,$C$3,$C$4,$C$5,$C$6)</f>
        <v>-0.84440933239486471</v>
      </c>
    </row>
    <row r="72" spans="2:12" x14ac:dyDescent="0.25">
      <c r="B72" s="7">
        <v>141</v>
      </c>
      <c r="C72" s="10" cm="1">
        <f t="array" aca="1" ref="C72" ca="1">OptionPriceC($C$2,B72,$C$3,$C$4,$C$5,$C$6)</f>
        <v>38.189161511239782</v>
      </c>
      <c r="D72" s="10" cm="1">
        <f t="array" aca="1" ref="D72" ca="1">OptionPriceP($C$2,B72,$C$3,$C$4,$C$5,$C$6)</f>
        <v>36.700572431717333</v>
      </c>
      <c r="E72" s="17" cm="1">
        <f t="array" aca="1" ref="E72" ca="1">ODeltac($C$2,B72,$C$3,$C$4,$C$5,$C$6)</f>
        <v>0.6432432526558618</v>
      </c>
      <c r="F72" s="17" cm="1">
        <f t="array" aca="1" ref="F72" ca="1">ODeltaP($C$2,B72,$C$3,$C$4,$C$5,$C$6)</f>
        <v>-0.3567567473441382</v>
      </c>
      <c r="G72" s="17" cm="1">
        <f t="array" aca="1" ref="G72" ca="1">OGamma($C$2,B72,$C$3,$C$4,$C$5,$C$6)</f>
        <v>3.872282303189872E-3</v>
      </c>
      <c r="H72" s="17" cm="1">
        <f t="array" aca="1" ref="H72" ca="1">OThetaC($C$2,B72,$C$3,$C$4,$C$5,$C$6)</f>
        <v>-19.955423555537863</v>
      </c>
      <c r="I72" s="17" cm="1">
        <f t="array" aca="1" ref="I72" ca="1">OThetaP($C$2,B72,$C$3,$C$4,$C$5,$C$6)</f>
        <v>-14.536571118718761</v>
      </c>
      <c r="J72" s="11" cm="1">
        <f t="array" aca="1" ref="J72" ca="1">OVega($C$2,B72,$C$3,$C$4,$C$5,$C$6)</f>
        <v>0.51077966447191137</v>
      </c>
      <c r="K72" s="11" cm="1">
        <f t="array" aca="1" ref="K72" ca="1">ORhoC($C$2,B72,$C$3,$C$4,$C$5,$C$6)</f>
        <v>0.49909370048181795</v>
      </c>
      <c r="L72" s="11" cm="1">
        <f t="array" aca="1" ref="L72" ca="1">ORhop($C$2,B72,$C$3,$C$4,$C$5,$C$6)</f>
        <v>-0.85561940872295783</v>
      </c>
    </row>
    <row r="73" spans="2:12" x14ac:dyDescent="0.25">
      <c r="B73" s="7">
        <v>142</v>
      </c>
      <c r="C73" s="10" cm="1">
        <f t="array" aca="1" ref="C73" ca="1">OptionPriceC($C$2,B73,$C$3,$C$4,$C$5,$C$6)</f>
        <v>37.83701475535316</v>
      </c>
      <c r="D73" s="10" cm="1">
        <f t="array" aca="1" ref="D73" ca="1">OptionPriceP($C$2,B73,$C$3,$C$4,$C$5,$C$6)</f>
        <v>37.309215114983047</v>
      </c>
      <c r="E73" s="17" cm="1">
        <f t="array" aca="1" ref="E73" ca="1">ODeltac($C$2,B73,$C$3,$C$4,$C$5,$C$6)</f>
        <v>0.63948833894519452</v>
      </c>
      <c r="F73" s="17" cm="1">
        <f t="array" aca="1" ref="F73" ca="1">ODeltaP($C$2,B73,$C$3,$C$4,$C$5,$C$6)</f>
        <v>-0.36051166105480548</v>
      </c>
      <c r="G73" s="17" cm="1">
        <f t="array" aca="1" ref="G73" ca="1">OGamma($C$2,B73,$C$3,$C$4,$C$5,$C$6)</f>
        <v>3.8864002465084893E-3</v>
      </c>
      <c r="H73" s="17" cm="1">
        <f t="array" aca="1" ref="H73" ca="1">OThetaC($C$2,B73,$C$3,$C$4,$C$5,$C$6)</f>
        <v>-20.014415367604464</v>
      </c>
      <c r="I73" s="17" cm="1">
        <f t="array" aca="1" ref="I73" ca="1">OThetaP($C$2,B73,$C$3,$C$4,$C$5,$C$6)</f>
        <v>-14.557131353219267</v>
      </c>
      <c r="J73" s="11" cm="1">
        <f t="array" aca="1" ref="J73" ca="1">OVega($C$2,B73,$C$3,$C$4,$C$5,$C$6)</f>
        <v>0.51264191463517461</v>
      </c>
      <c r="K73" s="11" cm="1">
        <f t="array" aca="1" ref="K73" ca="1">ORhoC($C$2,B73,$C$3,$C$4,$C$5,$C$6)</f>
        <v>0.49747244197746787</v>
      </c>
      <c r="L73" s="11" cm="1">
        <f t="array" aca="1" ref="L73" ca="1">ORhop($C$2,B73,$C$3,$C$4,$C$5,$C$6)</f>
        <v>-0.86684856161883106</v>
      </c>
    </row>
    <row r="74" spans="2:12" x14ac:dyDescent="0.25">
      <c r="B74" s="7">
        <v>143</v>
      </c>
      <c r="C74" s="10" cm="1">
        <f t="array" aca="1" ref="C74" ca="1">OptionPriceC($C$2,B74,$C$3,$C$4,$C$5,$C$6)</f>
        <v>37.488483435995519</v>
      </c>
      <c r="D74" s="10" cm="1">
        <f t="array" aca="1" ref="D74" ca="1">OptionPriceP($C$2,B74,$C$3,$C$4,$C$5,$C$6)</f>
        <v>37.921473234777743</v>
      </c>
      <c r="E74" s="17" cm="1">
        <f t="array" aca="1" ref="E74" ca="1">ODeltac($C$2,B74,$C$3,$C$4,$C$5,$C$6)</f>
        <v>0.6357464171218995</v>
      </c>
      <c r="F74" s="17" cm="1">
        <f t="array" aca="1" ref="F74" ca="1">ODeltaP($C$2,B74,$C$3,$C$4,$C$5,$C$6)</f>
        <v>-0.3642535828781005</v>
      </c>
      <c r="G74" s="17" cm="1">
        <f t="array" aca="1" ref="G74" ca="1">OGamma($C$2,B74,$C$3,$C$4,$C$5,$C$6)</f>
        <v>3.900080247567426E-3</v>
      </c>
      <c r="H74" s="17" cm="1">
        <f t="array" aca="1" ref="H74" ca="1">OThetaC($C$2,B74,$C$3,$C$4,$C$5,$C$6)</f>
        <v>-20.071302628183243</v>
      </c>
      <c r="I74" s="17" cm="1">
        <f t="array" aca="1" ref="I74" ca="1">OThetaP($C$2,B74,$C$3,$C$4,$C$5,$C$6)</f>
        <v>-14.575587036231953</v>
      </c>
      <c r="J74" s="11" cm="1">
        <f t="array" aca="1" ref="J74" ca="1">OVega($C$2,B74,$C$3,$C$4,$C$5,$C$6)</f>
        <v>0.51444639731586739</v>
      </c>
      <c r="K74" s="11" cm="1">
        <f t="array" aca="1" ref="K74" ca="1">ORhoC($C$2,B74,$C$3,$C$4,$C$5,$C$6)</f>
        <v>0.49583282278378121</v>
      </c>
      <c r="L74" s="11" cm="1">
        <f t="array" aca="1" ref="L74" ca="1">ORhop($C$2,B74,$C$3,$C$4,$C$5,$C$6)</f>
        <v>-0.87809607520404098</v>
      </c>
    </row>
    <row r="75" spans="2:12" x14ac:dyDescent="0.25">
      <c r="B75" s="7">
        <v>144</v>
      </c>
      <c r="C75" s="10" cm="1">
        <f t="array" aca="1" ref="C75" ca="1">OptionPriceC($C$2,B75,$C$3,$C$4,$C$5,$C$6)</f>
        <v>37.143529713752265</v>
      </c>
      <c r="D75" s="10" cm="1">
        <f t="array" aca="1" ref="D75" ca="1">OptionPriceP($C$2,B75,$C$3,$C$4,$C$5,$C$6)</f>
        <v>38.537308951686796</v>
      </c>
      <c r="E75" s="17" cm="1">
        <f t="array" aca="1" ref="E75" ca="1">ODeltac($C$2,B75,$C$3,$C$4,$C$5,$C$6)</f>
        <v>0.63201772192043526</v>
      </c>
      <c r="F75" s="17" cm="1">
        <f t="array" aca="1" ref="F75" ca="1">ODeltaP($C$2,B75,$C$3,$C$4,$C$5,$C$6)</f>
        <v>-0.36798227807956474</v>
      </c>
      <c r="G75" s="17" cm="1">
        <f t="array" aca="1" ref="G75" ca="1">OGamma($C$2,B75,$C$3,$C$4,$C$5,$C$6)</f>
        <v>3.9133268857746827E-3</v>
      </c>
      <c r="H75" s="17" cm="1">
        <f t="array" aca="1" ref="H75" ca="1">OThetaC($C$2,B75,$C$3,$C$4,$C$5,$C$6)</f>
        <v>-20.126109375407903</v>
      </c>
      <c r="I75" s="17" cm="1">
        <f t="array" aca="1" ref="I75" ca="1">OThetaP($C$2,B75,$C$3,$C$4,$C$5,$C$6)</f>
        <v>-14.591962205890521</v>
      </c>
      <c r="J75" s="11" cm="1">
        <f t="array" aca="1" ref="J75" ca="1">OVega($C$2,B75,$C$3,$C$4,$C$5,$C$6)</f>
        <v>0.51619371656821367</v>
      </c>
      <c r="K75" s="11" cm="1">
        <f t="array" aca="1" ref="K75" ca="1">ORhoC($C$2,B75,$C$3,$C$4,$C$5,$C$6)</f>
        <v>0.49417554278698356</v>
      </c>
      <c r="L75" s="11" cm="1">
        <f t="array" aca="1" ref="L75" ca="1">ORhop($C$2,B75,$C$3,$C$4,$C$5,$C$6)</f>
        <v>-0.88936124959236174</v>
      </c>
    </row>
    <row r="76" spans="2:12" x14ac:dyDescent="0.25">
      <c r="B76" s="7">
        <v>145</v>
      </c>
      <c r="C76" s="10" cm="1">
        <f t="array" aca="1" ref="C76" ca="1">OptionPriceC($C$2,B76,$C$3,$C$4,$C$5,$C$6)</f>
        <v>36.80211605590322</v>
      </c>
      <c r="D76" s="10" cm="1">
        <f t="array" aca="1" ref="D76" ca="1">OptionPriceP($C$2,B76,$C$3,$C$4,$C$5,$C$6)</f>
        <v>39.156684732990087</v>
      </c>
      <c r="E76" s="17" cm="1">
        <f t="array" aca="1" ref="E76" ca="1">ODeltac($C$2,B76,$C$3,$C$4,$C$5,$C$6)</f>
        <v>0.62830247884286339</v>
      </c>
      <c r="F76" s="17" cm="1">
        <f t="array" aca="1" ref="F76" ca="1">ODeltaP($C$2,B76,$C$3,$C$4,$C$5,$C$6)</f>
        <v>-0.37169752115713661</v>
      </c>
      <c r="G76" s="17" cm="1">
        <f t="array" aca="1" ref="G76" ca="1">OGamma($C$2,B76,$C$3,$C$4,$C$5,$C$6)</f>
        <v>3.9261447787306922E-3</v>
      </c>
      <c r="H76" s="17" cm="1">
        <f t="array" aca="1" ref="H76" ca="1">OThetaC($C$2,B76,$C$3,$C$4,$C$5,$C$6)</f>
        <v>-20.178859761696252</v>
      </c>
      <c r="I76" s="17" cm="1">
        <f t="array" aca="1" ref="I76" ca="1">OThetaP($C$2,B76,$C$3,$C$4,$C$5,$C$6)</f>
        <v>-14.606281014612778</v>
      </c>
      <c r="J76" s="11" cm="1">
        <f t="array" aca="1" ref="J76" ca="1">OVega($C$2,B76,$C$3,$C$4,$C$5,$C$6)</f>
        <v>0.51788448148427213</v>
      </c>
      <c r="K76" s="11" cm="1">
        <f t="array" aca="1" ref="K76" ca="1">ORhoC($C$2,B76,$C$3,$C$4,$C$5,$C$6)</f>
        <v>0.49250128616167466</v>
      </c>
      <c r="L76" s="11" cm="1">
        <f t="array" aca="1" ref="L76" ca="1">ORhop($C$2,B76,$C$3,$C$4,$C$5,$C$6)</f>
        <v>-0.90064340060919412</v>
      </c>
    </row>
    <row r="77" spans="2:12" x14ac:dyDescent="0.25">
      <c r="B77" s="7">
        <v>146</v>
      </c>
      <c r="C77" s="10" cm="1">
        <f t="array" aca="1" ref="C77" ca="1">OptionPriceC($C$2,B77,$C$3,$C$4,$C$5,$C$6)</f>
        <v>36.464205238693751</v>
      </c>
      <c r="D77" s="10" cm="1">
        <f t="array" aca="1" ref="D77" ca="1">OptionPriceP($C$2,B77,$C$3,$C$4,$C$5,$C$6)</f>
        <v>39.779563354932925</v>
      </c>
      <c r="E77" s="17" cm="1">
        <f t="array" aca="1" ref="E77" ca="1">ODeltac($C$2,B77,$C$3,$C$4,$C$5,$C$6)</f>
        <v>0.62460090437869864</v>
      </c>
      <c r="F77" s="17" cm="1">
        <f t="array" aca="1" ref="F77" ca="1">ODeltaP($C$2,B77,$C$3,$C$4,$C$5,$C$6)</f>
        <v>-0.37539909562130136</v>
      </c>
      <c r="G77" s="17" cm="1">
        <f t="array" aca="1" ref="G77" ca="1">OGamma($C$2,B77,$C$3,$C$4,$C$5,$C$6)</f>
        <v>3.9385385780341276E-3</v>
      </c>
      <c r="H77" s="17" cm="1">
        <f t="array" aca="1" ref="H77" ca="1">OThetaC($C$2,B77,$C$3,$C$4,$C$5,$C$6)</f>
        <v>-20.229578035411784</v>
      </c>
      <c r="I77" s="17" cm="1">
        <f t="array" aca="1" ref="I77" ca="1">OThetaP($C$2,B77,$C$3,$C$4,$C$5,$C$6)</f>
        <v>-14.618567710762218</v>
      </c>
      <c r="J77" s="11" cm="1">
        <f t="array" aca="1" ref="J77" ca="1">OVega($C$2,B77,$C$3,$C$4,$C$5,$C$6)</f>
        <v>0.51951930564069426</v>
      </c>
      <c r="K77" s="11" cm="1">
        <f t="array" aca="1" ref="K77" ca="1">ORhoC($C$2,B77,$C$3,$C$4,$C$5,$C$6)</f>
        <v>0.49081072164922374</v>
      </c>
      <c r="L77" s="11" cm="1">
        <f t="array" aca="1" ref="L77" ca="1">ORhop($C$2,B77,$C$3,$C$4,$C$5,$C$6)</f>
        <v>-0.91194185951316797</v>
      </c>
    </row>
    <row r="78" spans="2:12" x14ac:dyDescent="0.25">
      <c r="B78" s="7">
        <v>147</v>
      </c>
      <c r="C78" s="10" cm="1">
        <f t="array" aca="1" ref="C78" ca="1">OptionPriceC($C$2,B78,$C$3,$C$4,$C$5,$C$6)</f>
        <v>36.129760349339335</v>
      </c>
      <c r="D78" s="10" cm="1">
        <f t="array" aca="1" ref="D78" ca="1">OptionPriceP($C$2,B78,$C$3,$C$4,$C$5,$C$6)</f>
        <v>40.405907904730846</v>
      </c>
      <c r="E78" s="17" cm="1">
        <f t="array" aca="1" ref="E78" ca="1">ODeltac($C$2,B78,$C$3,$C$4,$C$5,$C$6)</f>
        <v>0.6209132062210958</v>
      </c>
      <c r="F78" s="17" cm="1">
        <f t="array" aca="1" ref="F78" ca="1">ODeltaP($C$2,B78,$C$3,$C$4,$C$5,$C$6)</f>
        <v>-0.3790867937789042</v>
      </c>
      <c r="G78" s="17" cm="1">
        <f t="array" aca="1" ref="G78" ca="1">OGamma($C$2,B78,$C$3,$C$4,$C$5,$C$6)</f>
        <v>3.9505129652632337E-3</v>
      </c>
      <c r="H78" s="17" cm="1">
        <f t="array" aca="1" ref="H78" ca="1">OThetaC($C$2,B78,$C$3,$C$4,$C$5,$C$6)</f>
        <v>-20.278288523329881</v>
      </c>
      <c r="I78" s="17" cm="1">
        <f t="array" aca="1" ref="I78" ca="1">OThetaP($C$2,B78,$C$3,$C$4,$C$5,$C$6)</f>
        <v>-14.628846621114221</v>
      </c>
      <c r="J78" s="11" cm="1">
        <f t="array" aca="1" ref="J78" ca="1">OVega($C$2,B78,$C$3,$C$4,$C$5,$C$6)</f>
        <v>0.52109880656863561</v>
      </c>
      <c r="K78" s="11" cm="1">
        <f t="array" aca="1" ref="K78" ca="1">ORhoC($C$2,B78,$C$3,$C$4,$C$5,$C$6)</f>
        <v>0.48910450283381324</v>
      </c>
      <c r="L78" s="11" cm="1">
        <f t="array" aca="1" ref="L78" ca="1">ORhop($C$2,B78,$C$3,$C$4,$C$5,$C$6)</f>
        <v>-0.92325597272010185</v>
      </c>
    </row>
    <row r="79" spans="2:12" x14ac:dyDescent="0.25">
      <c r="B79" s="7">
        <v>148</v>
      </c>
      <c r="C79" s="10" cm="1">
        <f t="array" aca="1" ref="C79" ca="1">OptionPriceC($C$2,B79,$C$3,$C$4,$C$5,$C$6)</f>
        <v>35.79874478777581</v>
      </c>
      <c r="D79" s="10" cm="1">
        <f t="array" aca="1" ref="D79" ca="1">OptionPriceP($C$2,B79,$C$3,$C$4,$C$5,$C$6)</f>
        <v>41.035681782319649</v>
      </c>
      <c r="E79" s="17" cm="1">
        <f t="array" aca="1" ref="E79" ca="1">ODeltac($C$2,B79,$C$3,$C$4,$C$5,$C$6)</f>
        <v>0.61723958347935914</v>
      </c>
      <c r="F79" s="17" cm="1">
        <f t="array" aca="1" ref="F79" ca="1">ODeltaP($C$2,B79,$C$3,$C$4,$C$5,$C$6)</f>
        <v>-0.38276041652064086</v>
      </c>
      <c r="G79" s="17" cm="1">
        <f t="array" aca="1" ref="G79" ca="1">OGamma($C$2,B79,$C$3,$C$4,$C$5,$C$6)</f>
        <v>3.9620726481269406E-3</v>
      </c>
      <c r="H79" s="17" cm="1">
        <f t="array" aca="1" ref="H79" ca="1">OThetaC($C$2,B79,$C$3,$C$4,$C$5,$C$6)</f>
        <v>-20.325015613881469</v>
      </c>
      <c r="I79" s="17" cm="1">
        <f t="array" aca="1" ref="I79" ca="1">OThetaP($C$2,B79,$C$3,$C$4,$C$5,$C$6)</f>
        <v>-14.637142134099715</v>
      </c>
      <c r="J79" s="11" cm="1">
        <f t="array" aca="1" ref="J79" ca="1">OVega($C$2,B79,$C$3,$C$4,$C$5,$C$6)</f>
        <v>0.52262360524606222</v>
      </c>
      <c r="K79" s="11" cm="1">
        <f t="array" aca="1" ref="K79" ca="1">ORhoC($C$2,B79,$C$3,$C$4,$C$5,$C$6)</f>
        <v>0.48738326841598872</v>
      </c>
      <c r="L79" s="11" cm="1">
        <f t="array" aca="1" ref="L79" ca="1">ORhop($C$2,B79,$C$3,$C$4,$C$5,$C$6)</f>
        <v>-0.93458510152944974</v>
      </c>
    </row>
    <row r="80" spans="2:12" x14ac:dyDescent="0.25">
      <c r="B80" s="7">
        <v>149</v>
      </c>
      <c r="C80" s="10" cm="1">
        <f t="array" aca="1" ref="C80" ca="1">OptionPriceC($C$2,B80,$C$3,$C$4,$C$5,$C$6)</f>
        <v>35.471122268167314</v>
      </c>
      <c r="D80" s="10" cm="1">
        <f t="array" aca="1" ref="D80" ca="1">OptionPriceP($C$2,B80,$C$3,$C$4,$C$5,$C$6)</f>
        <v>41.66884870186346</v>
      </c>
      <c r="E80" s="17" cm="1">
        <f t="array" aca="1" ref="E80" ca="1">ODeltac($C$2,B80,$C$3,$C$4,$C$5,$C$6)</f>
        <v>0.61358022688777136</v>
      </c>
      <c r="F80" s="17" cm="1">
        <f t="array" aca="1" ref="F80" ca="1">ODeltaP($C$2,B80,$C$3,$C$4,$C$5,$C$6)</f>
        <v>-0.38641977311222864</v>
      </c>
      <c r="G80" s="17" cm="1">
        <f t="array" aca="1" ref="G80" ca="1">OGamma($C$2,B80,$C$3,$C$4,$C$5,$C$6)</f>
        <v>3.9732223567801707E-3</v>
      </c>
      <c r="H80" s="17" cm="1">
        <f t="array" aca="1" ref="H80" ca="1">OThetaC($C$2,B80,$C$3,$C$4,$C$5,$C$6)</f>
        <v>-20.369783741147707</v>
      </c>
      <c r="I80" s="17" cm="1">
        <f t="array" aca="1" ref="I80" ca="1">OThetaP($C$2,B80,$C$3,$C$4,$C$5,$C$6)</f>
        <v>-14.643478683799859</v>
      </c>
      <c r="J80" s="11" cm="1">
        <f t="array" aca="1" ref="J80" ca="1">OVega($C$2,B80,$C$3,$C$4,$C$5,$C$6)</f>
        <v>0.52409432561171454</v>
      </c>
      <c r="K80" s="11" cm="1">
        <f t="array" aca="1" ref="K80" ca="1">ORhoC($C$2,B80,$C$3,$C$4,$C$5,$C$6)</f>
        <v>0.4856476424835916</v>
      </c>
      <c r="L80" s="11" cm="1">
        <f t="array" aca="1" ref="L80" ca="1">ORhop($C$2,B80,$C$3,$C$4,$C$5,$C$6)</f>
        <v>-0.9459286218533699</v>
      </c>
    </row>
    <row r="81" spans="2:12" x14ac:dyDescent="0.25">
      <c r="B81" s="7">
        <v>150</v>
      </c>
      <c r="C81" s="10" cm="1">
        <f t="array" aca="1" ref="C81" ca="1">OptionPriceC($C$2,B81,$C$3,$C$4,$C$5,$C$6)</f>
        <v>35.146856820183501</v>
      </c>
      <c r="D81" s="10" cm="1">
        <f t="array" aca="1" ref="D81" ca="1">OptionPriceP($C$2,B81,$C$3,$C$4,$C$5,$C$6)</f>
        <v>42.305372693031977</v>
      </c>
      <c r="E81" s="17" cm="1">
        <f t="array" aca="1" ref="E81" ca="1">ODeltac($C$2,B81,$C$3,$C$4,$C$5,$C$6)</f>
        <v>0.60993531901073983</v>
      </c>
      <c r="F81" s="17" cm="1">
        <f t="array" aca="1" ref="F81" ca="1">ODeltaP($C$2,B81,$C$3,$C$4,$C$5,$C$6)</f>
        <v>-0.39006468098926017</v>
      </c>
      <c r="G81" s="17" cm="1">
        <f t="array" aca="1" ref="G81" ca="1">OGamma($C$2,B81,$C$3,$C$4,$C$5,$C$6)</f>
        <v>3.9839668402978879E-3</v>
      </c>
      <c r="H81" s="17" cm="1">
        <f t="array" aca="1" ref="H81" ca="1">OThetaC($C$2,B81,$C$3,$C$4,$C$5,$C$6)</f>
        <v>-20.412617369579959</v>
      </c>
      <c r="I81" s="17" cm="1">
        <f t="array" aca="1" ref="I81" ca="1">OThetaP($C$2,B81,$C$3,$C$4,$C$5,$C$6)</f>
        <v>-14.647880734666019</v>
      </c>
      <c r="J81" s="11" cm="1">
        <f t="array" aca="1" ref="J81" ca="1">OVega($C$2,B81,$C$3,$C$4,$C$5,$C$6)</f>
        <v>0.52551159410001202</v>
      </c>
      <c r="K81" s="11" cm="1">
        <f t="array" aca="1" ref="K81" ca="1">ORhoC($C$2,B81,$C$3,$C$4,$C$5,$C$6)</f>
        <v>0.48389823477995536</v>
      </c>
      <c r="L81" s="11" cm="1">
        <f t="array" aca="1" ref="L81" ca="1">ORhop($C$2,B81,$C$3,$C$4,$C$5,$C$6)</f>
        <v>-0.95728592394852952</v>
      </c>
    </row>
    <row r="82" spans="2:12" x14ac:dyDescent="0.25">
      <c r="B82" s="7">
        <v>151</v>
      </c>
      <c r="C82" s="10" cm="1">
        <f t="array" aca="1" ref="C82" ca="1">OptionPriceC($C$2,B82,$C$3,$C$4,$C$5,$C$6)</f>
        <v>34.825912790057053</v>
      </c>
      <c r="D82" s="10" cm="1">
        <f t="array" aca="1" ref="D82" ca="1">OptionPriceP($C$2,B82,$C$3,$C$4,$C$5,$C$6)</f>
        <v>42.945218102057837</v>
      </c>
      <c r="E82" s="17" cm="1">
        <f t="array" aca="1" ref="E82" ca="1">ODeltac($C$2,B82,$C$3,$C$4,$C$5,$C$6)</f>
        <v>0.60630503444426642</v>
      </c>
      <c r="F82" s="17" cm="1">
        <f t="array" aca="1" ref="F82" ca="1">ODeltaP($C$2,B82,$C$3,$C$4,$C$5,$C$6)</f>
        <v>-0.39369496555573358</v>
      </c>
      <c r="G82" s="17" cm="1">
        <f t="array" aca="1" ref="G82" ca="1">OGamma($C$2,B82,$C$3,$C$4,$C$5,$C$6)</f>
        <v>3.9943108633025892E-3</v>
      </c>
      <c r="H82" s="17" cm="1">
        <f t="array" aca="1" ref="H82" ca="1">OThetaC($C$2,B82,$C$3,$C$4,$C$5,$C$6)</f>
        <v>-20.453540979420055</v>
      </c>
      <c r="I82" s="17" cm="1">
        <f t="array" aca="1" ref="I82" ca="1">OThetaP($C$2,B82,$C$3,$C$4,$C$5,$C$6)</f>
        <v>-14.650372766940023</v>
      </c>
      <c r="J82" s="11" cm="1">
        <f t="array" aca="1" ref="J82" ca="1">OVega($C$2,B82,$C$3,$C$4,$C$5,$C$6)</f>
        <v>0.52687603919619697</v>
      </c>
      <c r="K82" s="11" cm="1">
        <f t="array" aca="1" ref="K82" ca="1">ORhoC($C$2,B82,$C$3,$C$4,$C$5,$C$6)</f>
        <v>0.48213564096926242</v>
      </c>
      <c r="L82" s="11" cm="1">
        <f t="array" aca="1" ref="L82" ca="1">ORhop($C$2,B82,$C$3,$C$4,$C$5,$C$6)</f>
        <v>-0.96865641215074549</v>
      </c>
    </row>
    <row r="83" spans="2:12" x14ac:dyDescent="0.25">
      <c r="B83" s="7">
        <v>152</v>
      </c>
      <c r="C83" s="10" cm="1">
        <f t="array" aca="1" ref="C83" ca="1">OptionPriceC($C$2,B83,$C$3,$C$4,$C$5,$C$6)</f>
        <v>34.508254841432084</v>
      </c>
      <c r="D83" s="10" cm="1">
        <f t="array" aca="1" ref="D83" ca="1">OptionPriceP($C$2,B83,$C$3,$C$4,$C$5,$C$6)</f>
        <v>43.588349592585203</v>
      </c>
      <c r="E83" s="17" cm="1">
        <f t="array" aca="1" ref="E83" ca="1">ODeltac($C$2,B83,$C$3,$C$4,$C$5,$C$6)</f>
        <v>0.60268954001374975</v>
      </c>
      <c r="F83" s="17" cm="1">
        <f t="array" aca="1" ref="F83" ca="1">ODeltaP($C$2,B83,$C$3,$C$4,$C$5,$C$6)</f>
        <v>-0.39731045998625025</v>
      </c>
      <c r="G83" s="17" cm="1">
        <f t="array" aca="1" ref="G83" ca="1">OGamma($C$2,B83,$C$3,$C$4,$C$5,$C$6)</f>
        <v>4.0042592027400613E-3</v>
      </c>
      <c r="H83" s="17" cm="1">
        <f t="array" aca="1" ref="H83" ca="1">OThetaC($C$2,B83,$C$3,$C$4,$C$5,$C$6)</f>
        <v>-20.492579052796454</v>
      </c>
      <c r="I83" s="17" cm="1">
        <f t="array" aca="1" ref="I83" ca="1">OThetaP($C$2,B83,$C$3,$C$4,$C$5,$C$6)</f>
        <v>-14.650979262750329</v>
      </c>
      <c r="J83" s="11" cm="1">
        <f t="array" aca="1" ref="J83" ca="1">OVega($C$2,B83,$C$3,$C$4,$C$5,$C$6)</f>
        <v>0.52818829101103471</v>
      </c>
      <c r="K83" s="11" cm="1">
        <f t="array" aca="1" ref="K83" ca="1">ORhoC($C$2,B83,$C$3,$C$4,$C$5,$C$6)</f>
        <v>0.48036044289897084</v>
      </c>
      <c r="L83" s="11" cm="1">
        <f t="array" aca="1" ref="L83" ca="1">ORhop($C$2,B83,$C$3,$C$4,$C$5,$C$6)</f>
        <v>-0.9800395046125604</v>
      </c>
    </row>
    <row r="84" spans="2:12" x14ac:dyDescent="0.25">
      <c r="B84" s="7">
        <v>153</v>
      </c>
      <c r="C84" s="10" cm="1">
        <f t="array" aca="1" ref="C84" ca="1">OptionPriceC($C$2,B84,$C$3,$C$4,$C$5,$C$6)</f>
        <v>34.19384795601362</v>
      </c>
      <c r="D84" s="10" cm="1">
        <f t="array" aca="1" ref="D84" ca="1">OptionPriceP($C$2,B84,$C$3,$C$4,$C$5,$C$6)</f>
        <v>44.234732146319054</v>
      </c>
      <c r="E84" s="17" cm="1">
        <f t="array" aca="1" ref="E84" ca="1">ODeltac($C$2,B84,$C$3,$C$4,$C$5,$C$6)</f>
        <v>0.59908899496813239</v>
      </c>
      <c r="F84" s="17" cm="1">
        <f t="array" aca="1" ref="F84" ca="1">ODeltaP($C$2,B84,$C$3,$C$4,$C$5,$C$6)</f>
        <v>-0.40091100503186761</v>
      </c>
      <c r="G84" s="17" cm="1">
        <f t="array" aca="1" ref="G84" ca="1">OGamma($C$2,B84,$C$3,$C$4,$C$5,$C$6)</f>
        <v>4.0138166447983683E-3</v>
      </c>
      <c r="H84" s="17" cm="1">
        <f t="array" aca="1" ref="H84" ca="1">OThetaC($C$2,B84,$C$3,$C$4,$C$5,$C$6)</f>
        <v>-20.529756060472586</v>
      </c>
      <c r="I84" s="17" cm="1">
        <f t="array" aca="1" ref="I84" ca="1">OThetaP($C$2,B84,$C$3,$C$4,$C$5,$C$6)</f>
        <v>-14.649724692860367</v>
      </c>
      <c r="J84" s="11" cm="1">
        <f t="array" aca="1" ref="J84" ca="1">OVega($C$2,B84,$C$3,$C$4,$C$5,$C$6)</f>
        <v>0.52944898087440806</v>
      </c>
      <c r="K84" s="11" cm="1">
        <f t="array" aca="1" ref="K84" ca="1">ORhoC($C$2,B84,$C$3,$C$4,$C$5,$C$6)</f>
        <v>0.478573208859223</v>
      </c>
      <c r="L84" s="11" cm="1">
        <f t="array" aca="1" ref="L84" ca="1">ORhop($C$2,B84,$C$3,$C$4,$C$5,$C$6)</f>
        <v>-0.99143463304383139</v>
      </c>
    </row>
    <row r="85" spans="2:12" x14ac:dyDescent="0.25">
      <c r="B85" s="7">
        <v>154</v>
      </c>
      <c r="C85" s="10" cm="1">
        <f t="array" aca="1" ref="C85" ca="1">OptionPriceC($C$2,B85,$C$3,$C$4,$C$5,$C$6)</f>
        <v>33.882657434027969</v>
      </c>
      <c r="D85" s="10" cm="1">
        <f t="array" aca="1" ref="D85" ca="1">OptionPriceP($C$2,B85,$C$3,$C$4,$C$5,$C$6)</f>
        <v>44.884331063485725</v>
      </c>
      <c r="E85" s="17" cm="1">
        <f t="array" aca="1" ref="E85" ca="1">ODeltac($C$2,B85,$C$3,$C$4,$C$5,$C$6)</f>
        <v>0.59550355117041176</v>
      </c>
      <c r="F85" s="17" cm="1">
        <f t="array" aca="1" ref="F85" ca="1">ODeltaP($C$2,B85,$C$3,$C$4,$C$5,$C$6)</f>
        <v>-0.40449644882958824</v>
      </c>
      <c r="G85" s="17" cm="1">
        <f t="array" aca="1" ref="G85" ca="1">OGamma($C$2,B85,$C$3,$C$4,$C$5,$C$6)</f>
        <v>4.0229879819651763E-3</v>
      </c>
      <c r="H85" s="17" cm="1">
        <f t="array" aca="1" ref="H85" ca="1">OThetaC($C$2,B85,$C$3,$C$4,$C$5,$C$6)</f>
        <v>-20.565096449224505</v>
      </c>
      <c r="I85" s="17" cm="1">
        <f t="array" aca="1" ref="I85" ca="1">OThetaP($C$2,B85,$C$3,$C$4,$C$5,$C$6)</f>
        <v>-14.646633504046196</v>
      </c>
      <c r="J85" s="11" cm="1">
        <f t="array" aca="1" ref="J85" ca="1">OVega($C$2,B85,$C$3,$C$4,$C$5,$C$6)</f>
        <v>0.53065874094715948</v>
      </c>
      <c r="K85" s="11" cm="1">
        <f t="array" aca="1" ref="K85" ca="1">ORhoC($C$2,B85,$C$3,$C$4,$C$5,$C$6)</f>
        <v>0.4767744938391652</v>
      </c>
      <c r="L85" s="11" cm="1">
        <f t="array" aca="1" ref="L85" ca="1">ORhop($C$2,B85,$C$3,$C$4,$C$5,$C$6)</f>
        <v>-1.0028412424554125</v>
      </c>
    </row>
    <row r="86" spans="2:12" x14ac:dyDescent="0.25">
      <c r="B86" s="7">
        <v>155</v>
      </c>
      <c r="C86" s="10" cm="1">
        <f t="array" aca="1" ref="C86" ca="1">OptionPriceC($C$2,B86,$C$3,$C$4,$C$5,$C$6)</f>
        <v>33.574648894503227</v>
      </c>
      <c r="D86" s="10" cm="1">
        <f t="array" aca="1" ref="D86" ca="1">OptionPriceP($C$2,B86,$C$3,$C$4,$C$5,$C$6)</f>
        <v>45.53711196311329</v>
      </c>
      <c r="E86" s="17" cm="1">
        <f t="array" aca="1" ref="E86" ca="1">ODeltac($C$2,B86,$C$3,$C$4,$C$5,$C$6)</f>
        <v>0.591933353284534</v>
      </c>
      <c r="F86" s="17" cm="1">
        <f t="array" aca="1" ref="F86" ca="1">ODeltaP($C$2,B86,$C$3,$C$4,$C$5,$C$6)</f>
        <v>-0.408066646715466</v>
      </c>
      <c r="G86" s="17" cm="1">
        <f t="array" aca="1" ref="G86" ca="1">OGamma($C$2,B86,$C$3,$C$4,$C$5,$C$6)</f>
        <v>4.0317780102186486E-3</v>
      </c>
      <c r="H86" s="17" cm="1">
        <f t="array" aca="1" ref="H86" ca="1">OThetaC($C$2,B86,$C$3,$C$4,$C$5,$C$6)</f>
        <v>-20.598624629825313</v>
      </c>
      <c r="I86" s="17" cm="1">
        <f t="array" aca="1" ref="I86" ca="1">OThetaP($C$2,B86,$C$3,$C$4,$C$5,$C$6)</f>
        <v>-14.64173010708091</v>
      </c>
      <c r="J86" s="11" cm="1">
        <f t="array" aca="1" ref="J86" ca="1">OVega($C$2,B86,$C$3,$C$4,$C$5,$C$6)</f>
        <v>0.53181820385055079</v>
      </c>
      <c r="K86" s="11" cm="1">
        <f t="array" aca="1" ref="K86" ca="1">ORhoC($C$2,B86,$C$3,$C$4,$C$5,$C$6)</f>
        <v>0.47496483978011228</v>
      </c>
      <c r="L86" s="11" cm="1">
        <f t="array" aca="1" ref="L86" ca="1">ORhop($C$2,B86,$C$3,$C$4,$C$5,$C$6)</f>
        <v>-1.0142587909059884</v>
      </c>
    </row>
    <row r="87" spans="2:12" x14ac:dyDescent="0.25">
      <c r="B87" s="7">
        <v>156</v>
      </c>
      <c r="C87" s="10" cm="1">
        <f t="array" aca="1" ref="C87" ca="1">OptionPriceC($C$2,B87,$C$3,$C$4,$C$5,$C$6)</f>
        <v>33.269788275379</v>
      </c>
      <c r="D87" s="10" cm="1">
        <f t="array" aca="1" ref="D87" ca="1">OptionPriceP($C$2,B87,$C$3,$C$4,$C$5,$C$6)</f>
        <v>46.193040783141399</v>
      </c>
      <c r="E87" s="17" cm="1">
        <f t="array" aca="1" ref="E87" ca="1">ODeltac($C$2,B87,$C$3,$C$4,$C$5,$C$6)</f>
        <v>0.58837853895869618</v>
      </c>
      <c r="F87" s="17" cm="1">
        <f t="array" aca="1" ref="F87" ca="1">ODeltaP($C$2,B87,$C$3,$C$4,$C$5,$C$6)</f>
        <v>-0.41162146104130382</v>
      </c>
      <c r="G87" s="17" cm="1">
        <f t="array" aca="1" ref="G87" ca="1">OGamma($C$2,B87,$C$3,$C$4,$C$5,$C$6)</f>
        <v>4.0401915263472803E-3</v>
      </c>
      <c r="H87" s="17" cm="1">
        <f t="array" aca="1" ref="H87" ca="1">OThetaC($C$2,B87,$C$3,$C$4,$C$5,$C$6)</f>
        <v>-20.630364965614795</v>
      </c>
      <c r="I87" s="17" cm="1">
        <f t="array" aca="1" ref="I87" ca="1">OThetaP($C$2,B87,$C$3,$C$4,$C$5,$C$6)</f>
        <v>-14.635038865304299</v>
      </c>
      <c r="J87" s="11" cm="1">
        <f t="array" aca="1" ref="J87" ca="1">OVega($C$2,B87,$C$3,$C$4,$C$5,$C$6)</f>
        <v>0.53292800231273196</v>
      </c>
      <c r="K87" s="11" cm="1">
        <f t="array" aca="1" ref="K87" ca="1">ORhoC($C$2,B87,$C$3,$C$4,$C$5,$C$6)</f>
        <v>0.47314477582550141</v>
      </c>
      <c r="L87" s="11" cm="1">
        <f t="array" aca="1" ref="L87" ca="1">ORhop($C$2,B87,$C$3,$C$4,$C$5,$C$6)</f>
        <v>-1.0256867492521229</v>
      </c>
    </row>
    <row r="88" spans="2:12" x14ac:dyDescent="0.25">
      <c r="B88" s="7">
        <v>157</v>
      </c>
      <c r="C88" s="10" cm="1">
        <f t="array" aca="1" ref="C88" ca="1">OptionPriceC($C$2,B88,$C$3,$C$4,$C$5,$C$6)</f>
        <v>32.968041833454031</v>
      </c>
      <c r="D88" s="10" cm="1">
        <f t="array" aca="1" ref="D88" ca="1">OptionPriceP($C$2,B88,$C$3,$C$4,$C$5,$C$6)</f>
        <v>46.852083780368744</v>
      </c>
      <c r="E88" s="17" cm="1">
        <f t="array" aca="1" ref="E88" ca="1">ODeltac($C$2,B88,$C$3,$C$4,$C$5,$C$6)</f>
        <v>0.58483923900508206</v>
      </c>
      <c r="F88" s="17" cm="1">
        <f t="array" aca="1" ref="F88" ca="1">ODeltaP($C$2,B88,$C$3,$C$4,$C$5,$C$6)</f>
        <v>-0.41516076099491794</v>
      </c>
      <c r="G88" s="17" cm="1">
        <f t="array" aca="1" ref="G88" ca="1">OGamma($C$2,B88,$C$3,$C$4,$C$5,$C$6)</f>
        <v>4.0482333253941708E-3</v>
      </c>
      <c r="H88" s="17" cm="1">
        <f t="array" aca="1" ref="H88" ca="1">OThetaC($C$2,B88,$C$3,$C$4,$C$5,$C$6)</f>
        <v>-20.660341761633124</v>
      </c>
      <c r="I88" s="17" cm="1">
        <f t="array" aca="1" ref="I88" ca="1">OThetaP($C$2,B88,$C$3,$C$4,$C$5,$C$6)</f>
        <v>-14.626584083756534</v>
      </c>
      <c r="J88" s="11" cm="1">
        <f t="array" aca="1" ref="J88" ca="1">OVega($C$2,B88,$C$3,$C$4,$C$5,$C$6)</f>
        <v>0.53398876883162383</v>
      </c>
      <c r="K88" s="11" cm="1">
        <f t="array" aca="1" ref="K88" ca="1">ORhoC($C$2,B88,$C$3,$C$4,$C$5,$C$6)</f>
        <v>0.47131481856758106</v>
      </c>
      <c r="L88" s="11" cm="1">
        <f t="array" aca="1" ref="L88" ca="1">ORhop($C$2,B88,$C$3,$C$4,$C$5,$C$6)</f>
        <v>-1.0371246009015662</v>
      </c>
    </row>
    <row r="89" spans="2:12" x14ac:dyDescent="0.25">
      <c r="B89" s="7">
        <v>158</v>
      </c>
      <c r="C89" s="10" cm="1">
        <f t="array" aca="1" ref="C89" ca="1">OptionPriceC($C$2,B89,$C$3,$C$4,$C$5,$C$6)</f>
        <v>32.669376144179836</v>
      </c>
      <c r="D89" s="10" cm="1">
        <f t="array" aca="1" ref="D89" ca="1">OptionPriceP($C$2,B89,$C$3,$C$4,$C$5,$C$6)</f>
        <v>47.514207530246892</v>
      </c>
      <c r="E89" s="17" cm="1">
        <f t="array" aca="1" ref="E89" ca="1">ODeltac($C$2,B89,$C$3,$C$4,$C$5,$C$6)</f>
        <v>0.58131557757606278</v>
      </c>
      <c r="F89" s="17" cm="1">
        <f t="array" aca="1" ref="F89" ca="1">ODeltaP($C$2,B89,$C$3,$C$4,$C$5,$C$6)</f>
        <v>-0.41868442242393722</v>
      </c>
      <c r="G89" s="17" cm="1">
        <f t="array" aca="1" ref="G89" ca="1">OGamma($C$2,B89,$C$3,$C$4,$C$5,$C$6)</f>
        <v>4.055908198221366E-3</v>
      </c>
      <c r="H89" s="17" cm="1">
        <f t="array" aca="1" ref="H89" ca="1">OThetaC($C$2,B89,$C$3,$C$4,$C$5,$C$6)</f>
        <v>-20.688579254298162</v>
      </c>
      <c r="I89" s="17" cm="1">
        <f t="array" aca="1" ref="I89" ca="1">OThetaP($C$2,B89,$C$3,$C$4,$C$5,$C$6)</f>
        <v>-14.61638999885548</v>
      </c>
      <c r="J89" s="11" cm="1">
        <f t="array" aca="1" ref="J89" ca="1">OVega($C$2,B89,$C$3,$C$4,$C$5,$C$6)</f>
        <v>0.53500113535363858</v>
      </c>
      <c r="K89" s="11" cm="1">
        <f t="array" aca="1" ref="K89" ca="1">ORhoC($C$2,B89,$C$3,$C$4,$C$5,$C$6)</f>
        <v>0.46947547229079972</v>
      </c>
      <c r="L89" s="11" cm="1">
        <f t="array" aca="1" ref="L89" ca="1">ORhop($C$2,B89,$C$3,$C$4,$C$5,$C$6)</f>
        <v>-1.0485718415698708</v>
      </c>
    </row>
    <row r="90" spans="2:12" x14ac:dyDescent="0.25">
      <c r="B90" s="7">
        <v>159</v>
      </c>
      <c r="C90" s="10" cm="1">
        <f t="array" aca="1" ref="C90" ca="1">OptionPriceC($C$2,B90,$C$3,$C$4,$C$5,$C$6)</f>
        <v>32.373758101308255</v>
      </c>
      <c r="D90" s="10" cm="1">
        <f t="array" aca="1" ref="D90" ca="1">OptionPriceP($C$2,B90,$C$3,$C$4,$C$5,$C$6)</f>
        <v>48.179378926527654</v>
      </c>
      <c r="E90" s="17" cm="1">
        <f t="array" aca="1" ref="E90" ca="1">ODeltac($C$2,B90,$C$3,$C$4,$C$5,$C$6)</f>
        <v>0.5778076723368929</v>
      </c>
      <c r="F90" s="17" cm="1">
        <f t="array" aca="1" ref="F90" ca="1">ODeltaP($C$2,B90,$C$3,$C$4,$C$5,$C$6)</f>
        <v>-0.4221923276631071</v>
      </c>
      <c r="G90" s="17" cm="1">
        <f t="array" aca="1" ref="G90" ca="1">OGamma($C$2,B90,$C$3,$C$4,$C$5,$C$6)</f>
        <v>4.0632209291900099E-3</v>
      </c>
      <c r="H90" s="17" cm="1">
        <f t="array" aca="1" ref="H90" ca="1">OThetaC($C$2,B90,$C$3,$C$4,$C$5,$C$6)</f>
        <v>-20.715101601606598</v>
      </c>
      <c r="I90" s="17" cm="1">
        <f t="array" aca="1" ref="I90" ca="1">OThetaP($C$2,B90,$C$3,$C$4,$C$5,$C$6)</f>
        <v>-14.604480768597824</v>
      </c>
      <c r="J90" s="11" cm="1">
        <f t="array" aca="1" ref="J90" ca="1">OVega($C$2,B90,$C$3,$C$4,$C$5,$C$6)</f>
        <v>0.53596573296767613</v>
      </c>
      <c r="K90" s="11" cm="1">
        <f t="array" aca="1" ref="K90" ca="1">ORhoC($C$2,B90,$C$3,$C$4,$C$5,$C$6)</f>
        <v>0.46762722921185373</v>
      </c>
      <c r="L90" s="11" cm="1">
        <f t="array" aca="1" ref="L90" ca="1">ORhop($C$2,B90,$C$3,$C$4,$C$5,$C$6)</f>
        <v>-1.0600279790403404</v>
      </c>
    </row>
    <row r="91" spans="2:12" x14ac:dyDescent="0.25">
      <c r="B91" s="7">
        <v>160</v>
      </c>
      <c r="C91" s="10" cm="1">
        <f t="array" aca="1" ref="C91" ca="1">OptionPriceC($C$2,B91,$C$3,$C$4,$C$5,$C$6)</f>
        <v>32.08115491640077</v>
      </c>
      <c r="D91" s="10" cm="1">
        <f t="array" aca="1" ref="D91" ca="1">OptionPriceP($C$2,B91,$C$3,$C$4,$C$5,$C$6)</f>
        <v>48.84756518077247</v>
      </c>
      <c r="E91" s="17" cm="1">
        <f t="array" aca="1" ref="E91" ca="1">ODeltac($C$2,B91,$C$3,$C$4,$C$5,$C$6)</f>
        <v>0.57431563463493607</v>
      </c>
      <c r="F91" s="17" cm="1">
        <f t="array" aca="1" ref="F91" ca="1">ODeltaP($C$2,B91,$C$3,$C$4,$C$5,$C$6)</f>
        <v>-0.42568436536506393</v>
      </c>
      <c r="G91" s="17" cm="1">
        <f t="array" aca="1" ref="G91" ca="1">OGamma($C$2,B91,$C$3,$C$4,$C$5,$C$6)</f>
        <v>4.0701762939522055E-3</v>
      </c>
      <c r="H91" s="17" cm="1">
        <f t="array" aca="1" ref="H91" ca="1">OThetaC($C$2,B91,$C$3,$C$4,$C$5,$C$6)</f>
        <v>-20.739932873839649</v>
      </c>
      <c r="I91" s="17" cm="1">
        <f t="array" aca="1" ref="I91" ca="1">OThetaP($C$2,B91,$C$3,$C$4,$C$5,$C$6)</f>
        <v>-14.590880463264778</v>
      </c>
      <c r="J91" s="11" cm="1">
        <f t="array" aca="1" ref="J91" ca="1">OVega($C$2,B91,$C$3,$C$4,$C$5,$C$6)</f>
        <v>0.53688319161385689</v>
      </c>
      <c r="K91" s="11" cm="1">
        <f t="array" aca="1" ref="K91" ca="1">ORhoC($C$2,B91,$C$3,$C$4,$C$5,$C$6)</f>
        <v>0.46577056971636616</v>
      </c>
      <c r="L91" s="11" cm="1">
        <f t="array" aca="1" ref="L91" ca="1">ORhop($C$2,B91,$C$3,$C$4,$C$5,$C$6)</f>
        <v>-1.071492532927351</v>
      </c>
    </row>
    <row r="92" spans="2:12" x14ac:dyDescent="0.25">
      <c r="B92" s="7">
        <v>161</v>
      </c>
      <c r="C92" s="10" cm="1">
        <f t="array" aca="1" ref="C92" ca="1">OptionPriceC($C$2,B92,$C$3,$C$4,$C$5,$C$6)</f>
        <v>31.791534118206535</v>
      </c>
      <c r="D92" s="10" cm="1">
        <f t="array" aca="1" ref="D92" ca="1">OptionPriceP($C$2,B92,$C$3,$C$4,$C$5,$C$6)</f>
        <v>49.518733821730578</v>
      </c>
      <c r="E92" s="17" cm="1">
        <f t="array" aca="1" ref="E92" ca="1">ODeltac($C$2,B92,$C$3,$C$4,$C$5,$C$6)</f>
        <v>0.57083956966545801</v>
      </c>
      <c r="F92" s="17" cm="1">
        <f t="array" aca="1" ref="F92" ca="1">ODeltaP($C$2,B92,$C$3,$C$4,$C$5,$C$6)</f>
        <v>-0.42916043033454199</v>
      </c>
      <c r="G92" s="17" cm="1">
        <f t="array" aca="1" ref="G92" ca="1">OGamma($C$2,B92,$C$3,$C$4,$C$5,$C$6)</f>
        <v>4.0767790573505653E-3</v>
      </c>
      <c r="H92" s="17" cm="1">
        <f t="array" aca="1" ref="H92" ca="1">OThetaC($C$2,B92,$C$3,$C$4,$C$5,$C$6)</f>
        <v>-20.763097044754613</v>
      </c>
      <c r="I92" s="17" cm="1">
        <f t="array" aca="1" ref="I92" ca="1">OThetaP($C$2,B92,$C$3,$C$4,$C$5,$C$6)</f>
        <v>-14.575613056613651</v>
      </c>
      <c r="J92" s="11" cm="1">
        <f t="array" aca="1" ref="J92" ca="1">OVega($C$2,B92,$C$3,$C$4,$C$5,$C$6)</f>
        <v>0.53775413980645725</v>
      </c>
      <c r="K92" s="11" cm="1">
        <f t="array" aca="1" ref="K92" ca="1">ORhoC($C$2,B92,$C$3,$C$4,$C$5,$C$6)</f>
        <v>0.46390596259217626</v>
      </c>
      <c r="L92" s="11" cm="1">
        <f t="array" aca="1" ref="L92" ca="1">ORhop($C$2,B92,$C$3,$C$4,$C$5,$C$6)</f>
        <v>-1.0829650344430641</v>
      </c>
    </row>
    <row r="93" spans="2:12" x14ac:dyDescent="0.25">
      <c r="B93" s="7">
        <v>162</v>
      </c>
      <c r="C93" s="10" cm="1">
        <f t="array" aca="1" ref="C93" ca="1">OptionPriceC($C$2,B93,$C$3,$C$4,$C$5,$C$6)</f>
        <v>31.504863551916515</v>
      </c>
      <c r="D93" s="10" cm="1">
        <f t="array" aca="1" ref="D93" ca="1">OptionPriceP($C$2,B93,$C$3,$C$4,$C$5,$C$6)</f>
        <v>50.192852694592837</v>
      </c>
      <c r="E93" s="17" cm="1">
        <f t="array" aca="1" ref="E93" ca="1">ODeltac($C$2,B93,$C$3,$C$4,$C$5,$C$6)</f>
        <v>0.56737957663402339</v>
      </c>
      <c r="F93" s="17" cm="1">
        <f t="array" aca="1" ref="F93" ca="1">ODeltaP($C$2,B93,$C$3,$C$4,$C$5,$C$6)</f>
        <v>-0.43262042336597661</v>
      </c>
      <c r="G93" s="17" cm="1">
        <f t="array" aca="1" ref="G93" ca="1">OGamma($C$2,B93,$C$3,$C$4,$C$5,$C$6)</f>
        <v>4.0830339714215758E-3</v>
      </c>
      <c r="H93" s="17" cm="1">
        <f t="array" aca="1" ref="H93" ca="1">OThetaC($C$2,B93,$C$3,$C$4,$C$5,$C$6)</f>
        <v>-20.784617983244353</v>
      </c>
      <c r="I93" s="17" cm="1">
        <f t="array" aca="1" ref="I93" ca="1">OThetaP($C$2,B93,$C$3,$C$4,$C$5,$C$6)</f>
        <v>-14.558702417537297</v>
      </c>
      <c r="J93" s="11" cm="1">
        <f t="array" aca="1" ref="J93" ca="1">OVega($C$2,B93,$C$3,$C$4,$C$5,$C$6)</f>
        <v>0.53857920437054119</v>
      </c>
      <c r="K93" s="11" cm="1">
        <f t="array" aca="1" ref="K93" ca="1">ORhoC($C$2,B93,$C$3,$C$4,$C$5,$C$6)</f>
        <v>0.46203386525921675</v>
      </c>
      <c r="L93" s="11" cm="1">
        <f t="array" aca="1" ref="L93" ca="1">ORhop($C$2,B93,$C$3,$C$4,$C$5,$C$6)</f>
        <v>-1.0944450261675467</v>
      </c>
    </row>
    <row r="94" spans="2:12" x14ac:dyDescent="0.25">
      <c r="B94" s="7">
        <v>163</v>
      </c>
      <c r="C94" s="10" cm="1">
        <f t="array" aca="1" ref="C94" ca="1">OptionPriceC($C$2,B94,$C$3,$C$4,$C$5,$C$6)</f>
        <v>31.221111378299703</v>
      </c>
      <c r="D94" s="10" cm="1">
        <f t="array" aca="1" ref="D94" ca="1">OptionPriceP($C$2,B94,$C$3,$C$4,$C$5,$C$6)</f>
        <v>50.869889960128383</v>
      </c>
      <c r="E94" s="17" cm="1">
        <f t="array" aca="1" ref="E94" ca="1">ODeltac($C$2,B94,$C$3,$C$4,$C$5,$C$6)</f>
        <v>0.56393574891553455</v>
      </c>
      <c r="F94" s="17" cm="1">
        <f t="array" aca="1" ref="F94" ca="1">ODeltaP($C$2,B94,$C$3,$C$4,$C$5,$C$6)</f>
        <v>-0.43606425108446545</v>
      </c>
      <c r="G94" s="17" cm="1">
        <f t="array" aca="1" ref="G94" ca="1">OGamma($C$2,B94,$C$3,$C$4,$C$5,$C$6)</f>
        <v>4.0889457734990132E-3</v>
      </c>
      <c r="H94" s="17" cm="1">
        <f t="array" aca="1" ref="H94" ca="1">OThetaC($C$2,B94,$C$3,$C$4,$C$5,$C$6)</f>
        <v>-20.804519445447006</v>
      </c>
      <c r="I94" s="17" cm="1">
        <f t="array" aca="1" ref="I94" ca="1">OThetaP($C$2,B94,$C$3,$C$4,$C$5,$C$6)</f>
        <v>-14.540172302173861</v>
      </c>
      <c r="J94" s="11" cm="1">
        <f t="array" aca="1" ref="J94" ca="1">OVega($C$2,B94,$C$3,$C$4,$C$5,$C$6)</f>
        <v>0.53935901019178789</v>
      </c>
      <c r="K94" s="11" cm="1">
        <f t="array" aca="1" ref="K94" ca="1">ORhoC($C$2,B94,$C$3,$C$4,$C$5,$C$6)</f>
        <v>0.46015472399597024</v>
      </c>
      <c r="L94" s="11" cm="1">
        <f t="array" aca="1" ref="L94" ca="1">ORhop($C$2,B94,$C$3,$C$4,$C$5,$C$6)</f>
        <v>-1.1059320618223165</v>
      </c>
    </row>
    <row r="95" spans="2:12" x14ac:dyDescent="0.25">
      <c r="B95" s="7">
        <v>164</v>
      </c>
      <c r="C95" s="10" cm="1">
        <f t="array" aca="1" ref="C95" ca="1">OptionPriceC($C$2,B95,$C$3,$C$4,$C$5,$C$6)</f>
        <v>30.940246072728868</v>
      </c>
      <c r="D95" s="10" cm="1">
        <f t="array" aca="1" ref="D95" ca="1">OptionPriceP($C$2,B95,$C$3,$C$4,$C$5,$C$6)</f>
        <v>51.549814093709841</v>
      </c>
      <c r="E95" s="17" cm="1">
        <f t="array" aca="1" ref="E95" ca="1">ODeltac($C$2,B95,$C$3,$C$4,$C$5,$C$6)</f>
        <v>0.56050817420995758</v>
      </c>
      <c r="F95" s="17" cm="1">
        <f t="array" aca="1" ref="F95" ca="1">ODeltaP($C$2,B95,$C$3,$C$4,$C$5,$C$6)</f>
        <v>-0.43949182579004242</v>
      </c>
      <c r="G95" s="17" cm="1">
        <f t="array" aca="1" ref="G95" ca="1">OGamma($C$2,B95,$C$3,$C$4,$C$5,$C$6)</f>
        <v>4.0945191844137608E-3</v>
      </c>
      <c r="H95" s="17" cm="1">
        <f t="array" aca="1" ref="H95" ca="1">OThetaC($C$2,B95,$C$3,$C$4,$C$5,$C$6)</f>
        <v>-20.822825067289148</v>
      </c>
      <c r="I95" s="17" cm="1">
        <f t="array" aca="1" ref="I95" ca="1">OThetaP($C$2,B95,$C$3,$C$4,$C$5,$C$6)</f>
        <v>-14.520046346449909</v>
      </c>
      <c r="J95" s="11" cm="1">
        <f t="array" aca="1" ref="J95" ca="1">OVega($C$2,B95,$C$3,$C$4,$C$5,$C$6)</f>
        <v>0.54009417997903542</v>
      </c>
      <c r="K95" s="11" cm="1">
        <f t="array" aca="1" ref="K95" ca="1">ORhoC($C$2,B95,$C$3,$C$4,$C$5,$C$6)</f>
        <v>0.45826897416249507</v>
      </c>
      <c r="L95" s="11" cm="1">
        <f t="array" aca="1" ref="L95" ca="1">ORhop($C$2,B95,$C$3,$C$4,$C$5,$C$6)</f>
        <v>-1.1174257060473149</v>
      </c>
    </row>
    <row r="96" spans="2:12" x14ac:dyDescent="0.25">
      <c r="B96" s="7">
        <v>165</v>
      </c>
      <c r="C96" s="10" cm="1">
        <f t="array" aca="1" ref="C96" ca="1">OptionPriceC($C$2,B96,$C$3,$C$4,$C$5,$C$6)</f>
        <v>30.662236424100833</v>
      </c>
      <c r="D96" s="10" cm="1">
        <f t="array" aca="1" ref="D96" ca="1">OptionPriceP($C$2,B96,$C$3,$C$4,$C$5,$C$6)</f>
        <v>52.23259388423417</v>
      </c>
      <c r="E96" s="17" cm="1">
        <f t="array" aca="1" ref="E96" ca="1">ODeltac($C$2,B96,$C$3,$C$4,$C$5,$C$6)</f>
        <v>0.55709693469477184</v>
      </c>
      <c r="F96" s="17" cm="1">
        <f t="array" aca="1" ref="F96" ca="1">ODeltaP($C$2,B96,$C$3,$C$4,$C$5,$C$6)</f>
        <v>-0.44290306530522816</v>
      </c>
      <c r="G96" s="17" cm="1">
        <f t="array" aca="1" ref="G96" ca="1">OGamma($C$2,B96,$C$3,$C$4,$C$5,$C$6)</f>
        <v>4.0997589067864873E-3</v>
      </c>
      <c r="H96" s="17" cm="1">
        <f t="array" aca="1" ref="H96" ca="1">OThetaC($C$2,B96,$C$3,$C$4,$C$5,$C$6)</f>
        <v>-20.839558357445856</v>
      </c>
      <c r="I96" s="17" cm="1">
        <f t="array" aca="1" ref="I96" ca="1">OThetaP($C$2,B96,$C$3,$C$4,$C$5,$C$6)</f>
        <v>-14.498348059040524</v>
      </c>
      <c r="J96" s="11" cm="1">
        <f t="array" aca="1" ref="J96" ca="1">OVega($C$2,B96,$C$3,$C$4,$C$5,$C$6)</f>
        <v>0.54078533403907458</v>
      </c>
      <c r="K96" s="11" cm="1">
        <f t="array" aca="1" ref="K96" ca="1">ORhoC($C$2,B96,$C$3,$C$4,$C$5,$C$6)</f>
        <v>0.45637704042001653</v>
      </c>
      <c r="L96" s="11" cm="1">
        <f t="array" aca="1" ref="L96" ca="1">ORhop($C$2,B96,$C$3,$C$4,$C$5,$C$6)</f>
        <v>-1.1289255341813169</v>
      </c>
    </row>
    <row r="97" spans="2:12" x14ac:dyDescent="0.25">
      <c r="B97" s="7">
        <v>166</v>
      </c>
      <c r="C97" s="10" cm="1">
        <f t="array" aca="1" ref="C97" ca="1">OptionPriceC($C$2,B97,$C$3,$C$4,$C$5,$C$6)</f>
        <v>30.38705153365828</v>
      </c>
      <c r="D97" s="10" cm="1">
        <f t="array" aca="1" ref="D97" ca="1">OptionPriceP($C$2,B97,$C$3,$C$4,$C$5,$C$6)</f>
        <v>52.918198432943903</v>
      </c>
      <c r="E97" s="17" cm="1">
        <f t="array" aca="1" ref="E97" ca="1">ODeltac($C$2,B97,$C$3,$C$4,$C$5,$C$6)</f>
        <v>0.55370210717419288</v>
      </c>
      <c r="F97" s="17" cm="1">
        <f t="array" aca="1" ref="F97" ca="1">ODeltaP($C$2,B97,$C$3,$C$4,$C$5,$C$6)</f>
        <v>-0.44629789282580712</v>
      </c>
      <c r="G97" s="17" cm="1">
        <f t="array" aca="1" ref="G97" ca="1">OGamma($C$2,B97,$C$3,$C$4,$C$5,$C$6)</f>
        <v>4.1046696234097561E-3</v>
      </c>
      <c r="H97" s="17" cm="1">
        <f t="array" aca="1" ref="H97" ca="1">OThetaC($C$2,B97,$C$3,$C$4,$C$5,$C$6)</f>
        <v>-20.854742690701791</v>
      </c>
      <c r="I97" s="17" cm="1">
        <f t="array" aca="1" ref="I97" ca="1">OThetaP($C$2,B97,$C$3,$C$4,$C$5,$C$6)</f>
        <v>-14.475100814730364</v>
      </c>
      <c r="J97" s="11" cm="1">
        <f t="array" aca="1" ref="J97" ca="1">OVega($C$2,B97,$C$3,$C$4,$C$5,$C$6)</f>
        <v>0.54143309006323725</v>
      </c>
      <c r="K97" s="11" cm="1">
        <f t="array" aca="1" ref="K97" ca="1">ORhoC($C$2,B97,$C$3,$C$4,$C$5,$C$6)</f>
        <v>0.4544793369470847</v>
      </c>
      <c r="L97" s="11" cm="1">
        <f t="array" aca="1" ref="L97" ca="1">ORhop($C$2,B97,$C$3,$C$4,$C$5,$C$6)</f>
        <v>-1.1404311320457716</v>
      </c>
    </row>
    <row r="98" spans="2:12" x14ac:dyDescent="0.25">
      <c r="B98" s="7">
        <v>167</v>
      </c>
      <c r="C98" s="10" cm="1">
        <f t="array" aca="1" ref="C98" ca="1">OptionPriceC($C$2,B98,$C$3,$C$4,$C$5,$C$6)</f>
        <v>30.114660813717443</v>
      </c>
      <c r="D98" s="10" cm="1">
        <f t="array" aca="1" ref="D98" ca="1">OptionPriceP($C$2,B98,$C$3,$C$4,$C$5,$C$6)</f>
        <v>53.606597152155409</v>
      </c>
      <c r="E98" s="17" cm="1">
        <f t="array" aca="1" ref="E98" ca="1">ODeltac($C$2,B98,$C$3,$C$4,$C$5,$C$6)</f>
        <v>0.55032376322520538</v>
      </c>
      <c r="F98" s="17" cm="1">
        <f t="array" aca="1" ref="F98" ca="1">ODeltaP($C$2,B98,$C$3,$C$4,$C$5,$C$6)</f>
        <v>-0.44967623677479462</v>
      </c>
      <c r="G98" s="17" cm="1">
        <f t="array" aca="1" ref="G98" ca="1">OGamma($C$2,B98,$C$3,$C$4,$C$5,$C$6)</f>
        <v>4.1092559957162534E-3</v>
      </c>
      <c r="H98" s="17" cm="1">
        <f t="array" aca="1" ref="H98" ca="1">OThetaC($C$2,B98,$C$3,$C$4,$C$5,$C$6)</f>
        <v>-20.868401301698032</v>
      </c>
      <c r="I98" s="17" cm="1">
        <f t="array" aca="1" ref="I98" ca="1">OThetaP($C$2,B98,$C$3,$C$4,$C$5,$C$6)</f>
        <v>-14.450327848160514</v>
      </c>
      <c r="J98" s="11" cm="1">
        <f t="array" aca="1" ref="J98" ca="1">OVega($C$2,B98,$C$3,$C$4,$C$5,$C$6)</f>
        <v>0.54203806292534662</v>
      </c>
      <c r="K98" s="11" cm="1">
        <f t="array" aca="1" ref="K98" ca="1">ORhoC($C$2,B98,$C$3,$C$4,$C$5,$C$6)</f>
        <v>0.45257626765230363</v>
      </c>
      <c r="L98" s="11" cm="1">
        <f t="array" aca="1" ref="L98" ca="1">ORhop($C$2,B98,$C$3,$C$4,$C$5,$C$6)</f>
        <v>-1.1519420957320761</v>
      </c>
    </row>
    <row r="99" spans="2:12" x14ac:dyDescent="0.25">
      <c r="B99" s="7">
        <v>168</v>
      </c>
      <c r="C99" s="10" cm="1">
        <f t="array" aca="1" ref="C99" ca="1">OptionPriceC($C$2,B99,$C$3,$C$4,$C$5,$C$6)</f>
        <v>29.8450339863086</v>
      </c>
      <c r="D99" s="10" cm="1">
        <f t="array" aca="1" ref="D99" ca="1">OptionPriceP($C$2,B99,$C$3,$C$4,$C$5,$C$6)</f>
        <v>54.29775976389891</v>
      </c>
      <c r="E99" s="17" cm="1">
        <f t="array" aca="1" ref="E99" ca="1">ODeltac($C$2,B99,$C$3,$C$4,$C$5,$C$6)</f>
        <v>0.54696196934045915</v>
      </c>
      <c r="F99" s="17" cm="1">
        <f t="array" aca="1" ref="F99" ca="1">ODeltaP($C$2,B99,$C$3,$C$4,$C$5,$C$6)</f>
        <v>-0.45303803065954085</v>
      </c>
      <c r="G99" s="17" cm="1">
        <f t="array" aca="1" ref="G99" ca="1">OGamma($C$2,B99,$C$3,$C$4,$C$5,$C$6)</f>
        <v>4.1135226623298972E-3</v>
      </c>
      <c r="H99" s="17" cm="1">
        <f t="array" aca="1" ref="H99" ca="1">OThetaC($C$2,B99,$C$3,$C$4,$C$5,$C$6)</f>
        <v>-20.880557279049533</v>
      </c>
      <c r="I99" s="17" cm="1">
        <f t="array" aca="1" ref="I99" ca="1">OThetaP($C$2,B99,$C$3,$C$4,$C$5,$C$6)</f>
        <v>-14.424052247945921</v>
      </c>
      <c r="J99" s="11" cm="1">
        <f t="array" aca="1" ref="J99" ca="1">OVega($C$2,B99,$C$3,$C$4,$C$5,$C$6)</f>
        <v>0.54260086449059797</v>
      </c>
      <c r="K99" s="11" cm="1">
        <f t="array" aca="1" ref="K99" ca="1">ORhoC($C$2,B99,$C$3,$C$4,$C$5,$C$6)</f>
        <v>0.45066822638363752</v>
      </c>
      <c r="L99" s="11" cm="1">
        <f t="array" aca="1" ref="L99" ca="1">ORhop($C$2,B99,$C$3,$C$4,$C$5,$C$6)</f>
        <v>-1.1634580313922656</v>
      </c>
    </row>
    <row r="100" spans="2:12" x14ac:dyDescent="0.25">
      <c r="B100" s="7">
        <v>169</v>
      </c>
      <c r="C100" s="10" cm="1">
        <f t="array" aca="1" ref="C100" ca="1">OptionPriceC($C$2,B100,$C$3,$C$4,$C$5,$C$6)</f>
        <v>29.578141081732973</v>
      </c>
      <c r="D100" s="10" cm="1">
        <f t="array" aca="1" ref="D100" ca="1">OptionPriceP($C$2,B100,$C$3,$C$4,$C$5,$C$6)</f>
        <v>54.99165629847559</v>
      </c>
      <c r="E100" s="17" cm="1">
        <f t="array" aca="1" ref="E100" ca="1">ODeltac($C$2,B100,$C$3,$C$4,$C$5,$C$6)</f>
        <v>0.54361678706806704</v>
      </c>
      <c r="F100" s="17" cm="1">
        <f t="array" aca="1" ref="F100" ca="1">ODeltaP($C$2,B100,$C$3,$C$4,$C$5,$C$6)</f>
        <v>-0.45638321293193296</v>
      </c>
      <c r="G100" s="17" cm="1">
        <f t="array" aca="1" ref="G100" ca="1">OGamma($C$2,B100,$C$3,$C$4,$C$5,$C$6)</f>
        <v>4.1174742376967428E-3</v>
      </c>
      <c r="H100" s="17" cm="1">
        <f t="array" aca="1" ref="H100" ca="1">OThetaC($C$2,B100,$C$3,$C$4,$C$5,$C$6)</f>
        <v>-20.891233559819071</v>
      </c>
      <c r="I100" s="17" cm="1">
        <f t="array" aca="1" ref="I100" ca="1">OThetaP($C$2,B100,$C$3,$C$4,$C$5,$C$6)</f>
        <v>-14.396296951149367</v>
      </c>
      <c r="J100" s="11" cm="1">
        <f t="array" aca="1" ref="J100" ca="1">OVega($C$2,B100,$C$3,$C$4,$C$5,$C$6)</f>
        <v>0.54312210343496681</v>
      </c>
      <c r="K100" s="11" cm="1">
        <f t="array" aca="1" ref="K100" ca="1">ORhoC($C$2,B100,$C$3,$C$4,$C$5,$C$6)</f>
        <v>0.44875559713430785</v>
      </c>
      <c r="L100" s="11" cm="1">
        <f t="array" aca="1" ref="L100" ca="1">ORhop($C$2,B100,$C$3,$C$4,$C$5,$C$6)</f>
        <v>-1.1749785550331184</v>
      </c>
    </row>
    <row r="101" spans="2:12" x14ac:dyDescent="0.25">
      <c r="B101" s="7">
        <v>170</v>
      </c>
      <c r="C101" s="10" cm="1">
        <f t="array" aca="1" ref="C101" ca="1">OptionPriceC($C$2,B101,$C$3,$C$4,$C$5,$C$6)</f>
        <v>29.313952437042204</v>
      </c>
      <c r="D101" s="10" cm="1">
        <f t="array" aca="1" ref="D101" ca="1">OptionPriceP($C$2,B101,$C$3,$C$4,$C$5,$C$6)</f>
        <v>55.688257092937157</v>
      </c>
      <c r="E101" s="17" cm="1">
        <f t="array" aca="1" ref="E101" ca="1">ODeltac($C$2,B101,$C$3,$C$4,$C$5,$C$6)</f>
        <v>0.54028827314835537</v>
      </c>
      <c r="F101" s="17" cm="1">
        <f t="array" aca="1" ref="F101" ca="1">ODeltaP($C$2,B101,$C$3,$C$4,$C$5,$C$6)</f>
        <v>-0.45971172685164463</v>
      </c>
      <c r="G101" s="17" cm="1">
        <f t="array" aca="1" ref="G101" ca="1">OGamma($C$2,B101,$C$3,$C$4,$C$5,$C$6)</f>
        <v>4.1211153107926302E-3</v>
      </c>
      <c r="H101" s="17" cm="1">
        <f t="array" aca="1" ref="H101" ca="1">OThetaC($C$2,B101,$C$3,$C$4,$C$5,$C$6)</f>
        <v>-20.900452924333532</v>
      </c>
      <c r="I101" s="17" cm="1">
        <f t="array" aca="1" ref="I101" ca="1">OThetaP($C$2,B101,$C$3,$C$4,$C$5,$C$6)</f>
        <v>-14.367084738097734</v>
      </c>
      <c r="J101" s="11" cm="1">
        <f t="array" aca="1" ref="J101" ca="1">OVega($C$2,B101,$C$3,$C$4,$C$5,$C$6)</f>
        <v>0.54360238507473857</v>
      </c>
      <c r="K101" s="11" cm="1">
        <f t="array" aca="1" ref="K101" ca="1">ORhoC($C$2,B101,$C$3,$C$4,$C$5,$C$6)</f>
        <v>0.44683875424529235</v>
      </c>
      <c r="L101" s="11" cm="1">
        <f t="array" aca="1" ref="L101" ca="1">ORhop($C$2,B101,$C$3,$C$4,$C$5,$C$6)</f>
        <v>-1.1865032923136571</v>
      </c>
    </row>
    <row r="102" spans="2:12" x14ac:dyDescent="0.25">
      <c r="B102" s="7">
        <v>171</v>
      </c>
      <c r="C102" s="10" cm="1">
        <f t="array" aca="1" ref="C102" ca="1">OptionPriceC($C$2,B102,$C$3,$C$4,$C$5,$C$6)</f>
        <v>29.05243869444444</v>
      </c>
      <c r="D102" s="10" cm="1">
        <f t="array" aca="1" ref="D102" ca="1">OptionPriceP($C$2,B102,$C$3,$C$4,$C$5,$C$6)</f>
        <v>56.387532789491708</v>
      </c>
      <c r="E102" s="17" cm="1">
        <f t="array" aca="1" ref="E102" ca="1">ODeltac($C$2,B102,$C$3,$C$4,$C$5,$C$6)</f>
        <v>0.53697647964761241</v>
      </c>
      <c r="F102" s="17" cm="1">
        <f t="array" aca="1" ref="F102" ca="1">ODeltaP($C$2,B102,$C$3,$C$4,$C$5,$C$6)</f>
        <v>-0.46302352035238759</v>
      </c>
      <c r="G102" s="17" cm="1">
        <f t="array" aca="1" ref="G102" ca="1">OGamma($C$2,B102,$C$3,$C$4,$C$5,$C$6)</f>
        <v>4.124450443904696E-3</v>
      </c>
      <c r="H102" s="17" cm="1">
        <f t="array" aca="1" ref="H102" ca="1">OThetaC($C$2,B102,$C$3,$C$4,$C$5,$C$6)</f>
        <v>-20.908237991329187</v>
      </c>
      <c r="I102" s="17" cm="1">
        <f t="array" aca="1" ref="I102" ca="1">OThetaP($C$2,B102,$C$3,$C$4,$C$5,$C$6)</f>
        <v>-14.336438227527296</v>
      </c>
      <c r="J102" s="11" cm="1">
        <f t="array" aca="1" ref="J102" ca="1">OVega($C$2,B102,$C$3,$C$4,$C$5,$C$6)</f>
        <v>0.54404231120578195</v>
      </c>
      <c r="K102" s="11" cm="1">
        <f t="array" aca="1" ref="K102" ca="1">ORhoC($C$2,B102,$C$3,$C$4,$C$5,$C$6)</f>
        <v>0.444918062604446</v>
      </c>
      <c r="L102" s="11" cm="1">
        <f t="array" aca="1" ref="L102" ca="1">ORhop($C$2,B102,$C$3,$C$4,$C$5,$C$6)</f>
        <v>-1.1980318783460266</v>
      </c>
    </row>
    <row r="103" spans="2:12" x14ac:dyDescent="0.25">
      <c r="B103" s="7">
        <v>172</v>
      </c>
      <c r="C103" s="10" cm="1">
        <f t="array" aca="1" ref="C103" ca="1">OptionPriceC($C$2,B103,$C$3,$C$4,$C$5,$C$6)</f>
        <v>28.79357079964182</v>
      </c>
      <c r="D103" s="10" cm="1">
        <f t="array" aca="1" ref="D103" ca="1">OptionPriceP($C$2,B103,$C$3,$C$4,$C$5,$C$6)</f>
        <v>57.089454333841402</v>
      </c>
      <c r="E103" s="17" cm="1">
        <f t="array" aca="1" ref="E103" ca="1">ODeltac($C$2,B103,$C$3,$C$4,$C$5,$C$6)</f>
        <v>0.53368145408888146</v>
      </c>
      <c r="F103" s="17" cm="1">
        <f t="array" aca="1" ref="F103" ca="1">ODeltaP($C$2,B103,$C$3,$C$4,$C$5,$C$6)</f>
        <v>-0.46631854591111854</v>
      </c>
      <c r="G103" s="17" cm="1">
        <f t="array" aca="1" ref="G103" ca="1">OGamma($C$2,B103,$C$3,$C$4,$C$5,$C$6)</f>
        <v>4.1274841714838851E-3</v>
      </c>
      <c r="H103" s="17" cm="1">
        <f t="array" aca="1" ref="H103" ca="1">OThetaC($C$2,B103,$C$3,$C$4,$C$5,$C$6)</f>
        <v>-20.914611213412911</v>
      </c>
      <c r="I103" s="17" cm="1">
        <f t="array" aca="1" ref="I103" ca="1">OThetaP($C$2,B103,$C$3,$C$4,$C$5,$C$6)</f>
        <v>-14.30437987204493</v>
      </c>
      <c r="J103" s="11" cm="1">
        <f t="array" aca="1" ref="J103" ca="1">OVega($C$2,B103,$C$3,$C$4,$C$5,$C$6)</f>
        <v>0.54444247995218786</v>
      </c>
      <c r="K103" s="11" cm="1">
        <f t="array" aca="1" ref="K103" ca="1">ORhoC($C$2,B103,$C$3,$C$4,$C$5,$C$6)</f>
        <v>0.4429938778422598</v>
      </c>
      <c r="L103" s="11" cm="1">
        <f t="array" aca="1" ref="L103" ca="1">ORhop($C$2,B103,$C$3,$C$4,$C$5,$C$6)</f>
        <v>-1.2095639574997361</v>
      </c>
    </row>
    <row r="104" spans="2:12" x14ac:dyDescent="0.25">
      <c r="B104" s="7">
        <v>173</v>
      </c>
      <c r="C104" s="10" cm="1">
        <f t="array" aca="1" ref="C104" ca="1">OptionPriceC($C$2,B104,$C$3,$C$4,$C$5,$C$6)</f>
        <v>28.537320000103591</v>
      </c>
      <c r="D104" s="10" cm="1">
        <f t="array" aca="1" ref="D104" ca="1">OptionPriceP($C$2,B104,$C$3,$C$4,$C$5,$C$6)</f>
        <v>57.793992973455502</v>
      </c>
      <c r="E104" s="17" cm="1">
        <f t="array" aca="1" ref="E104" ca="1">ODeltac($C$2,B104,$C$3,$C$4,$C$5,$C$6)</f>
        <v>0.53040323957984659</v>
      </c>
      <c r="F104" s="17" cm="1">
        <f t="array" aca="1" ref="F104" ca="1">ODeltaP($C$2,B104,$C$3,$C$4,$C$5,$C$6)</f>
        <v>-0.46959676042015341</v>
      </c>
      <c r="G104" s="17" cm="1">
        <f t="array" aca="1" ref="G104" ca="1">OGamma($C$2,B104,$C$3,$C$4,$C$5,$C$6)</f>
        <v>4.1302209990657568E-3</v>
      </c>
      <c r="H104" s="17" cm="1">
        <f t="array" aca="1" ref="H104" ca="1">OThetaC($C$2,B104,$C$3,$C$4,$C$5,$C$6)</f>
        <v>-20.919594872826693</v>
      </c>
      <c r="I104" s="17" cm="1">
        <f t="array" aca="1" ref="I104" ca="1">OThetaP($C$2,B104,$C$3,$C$4,$C$5,$C$6)</f>
        <v>-14.270931953892614</v>
      </c>
      <c r="J104" s="11" cm="1">
        <f t="array" aca="1" ref="J104" ca="1">OVega($C$2,B104,$C$3,$C$4,$C$5,$C$6)</f>
        <v>0.54480348562391645</v>
      </c>
      <c r="K104" s="11" cm="1">
        <f t="array" aca="1" ref="K104" ca="1">ORhoC($C$2,B104,$C$3,$C$4,$C$5,$C$6)</f>
        <v>0.44106654652428245</v>
      </c>
      <c r="L104" s="11" cm="1">
        <f t="array" aca="1" ref="L104" ca="1">ORhop($C$2,B104,$C$3,$C$4,$C$5,$C$6)</f>
        <v>-1.2210991832092366</v>
      </c>
    </row>
    <row r="105" spans="2:12" x14ac:dyDescent="0.25">
      <c r="B105" s="7">
        <v>174</v>
      </c>
      <c r="C105" s="10" cm="1">
        <f t="array" aca="1" ref="C105" ca="1">OptionPriceC($C$2,B105,$C$3,$C$4,$C$5,$C$6)</f>
        <v>28.283657843279016</v>
      </c>
      <c r="D105" s="10" cm="1">
        <f t="array" aca="1" ref="D105" ca="1">OptionPriceP($C$2,B105,$C$3,$C$4,$C$5,$C$6)</f>
        <v>58.501120255783263</v>
      </c>
      <c r="E105" s="17" cm="1">
        <f t="array" aca="1" ref="E105" ca="1">ODeltac($C$2,B105,$C$3,$C$4,$C$5,$C$6)</f>
        <v>0.52714187493785924</v>
      </c>
      <c r="F105" s="17" cm="1">
        <f t="array" aca="1" ref="F105" ca="1">ODeltaP($C$2,B105,$C$3,$C$4,$C$5,$C$6)</f>
        <v>-0.47285812506214076</v>
      </c>
      <c r="G105" s="17" cm="1">
        <f t="array" aca="1" ref="G105" ca="1">OGamma($C$2,B105,$C$3,$C$4,$C$5,$C$6)</f>
        <v>4.1326654022569307E-3</v>
      </c>
      <c r="H105" s="17" cm="1">
        <f t="array" aca="1" ref="H105" ca="1">OThetaC($C$2,B105,$C$3,$C$4,$C$5,$C$6)</f>
        <v>-20.923211077503368</v>
      </c>
      <c r="I105" s="17" cm="1">
        <f t="array" aca="1" ref="I105" ca="1">OThetaP($C$2,B105,$C$3,$C$4,$C$5,$C$6)</f>
        <v>-14.236116581003198</v>
      </c>
      <c r="J105" s="11" cm="1">
        <f t="array" aca="1" ref="J105" ca="1">OVega($C$2,B105,$C$3,$C$4,$C$5,$C$6)</f>
        <v>0.54512591858310278</v>
      </c>
      <c r="K105" s="11" cm="1">
        <f t="array" aca="1" ref="K105" ca="1">ORhoC($C$2,B105,$C$3,$C$4,$C$5,$C$6)</f>
        <v>0.43913640634022699</v>
      </c>
      <c r="L105" s="11" cm="1">
        <f t="array" aca="1" ref="L105" ca="1">ORhop($C$2,B105,$C$3,$C$4,$C$5,$C$6)</f>
        <v>-1.2326372177848155</v>
      </c>
    </row>
    <row r="106" spans="2:12" x14ac:dyDescent="0.25">
      <c r="B106" s="7">
        <v>175</v>
      </c>
      <c r="C106" s="10" cm="1">
        <f t="array" aca="1" ref="C106" ca="1">OptionPriceC($C$2,B106,$C$3,$C$4,$C$5,$C$6)</f>
        <v>28.032556174754276</v>
      </c>
      <c r="D106" s="10" cm="1">
        <f t="array" aca="1" ref="D106" ca="1">OptionPriceP($C$2,B106,$C$3,$C$4,$C$5,$C$6)</f>
        <v>59.210808026410817</v>
      </c>
      <c r="E106" s="17" cm="1">
        <f t="array" aca="1" ref="E106" ca="1">ODeltac($C$2,B106,$C$3,$C$4,$C$5,$C$6)</f>
        <v>0.52389739481215269</v>
      </c>
      <c r="F106" s="17" cm="1">
        <f t="array" aca="1" ref="F106" ca="1">ODeltaP($C$2,B106,$C$3,$C$4,$C$5,$C$6)</f>
        <v>-0.47610260518784731</v>
      </c>
      <c r="G106" s="17" cm="1">
        <f t="array" aca="1" ref="G106" ca="1">OGamma($C$2,B106,$C$3,$C$4,$C$5,$C$6)</f>
        <v>4.1348218257846164E-3</v>
      </c>
      <c r="H106" s="17" cm="1">
        <f t="array" aca="1" ref="H106" ca="1">OThetaC($C$2,B106,$C$3,$C$4,$C$5,$C$6)</f>
        <v>-20.925481757401748</v>
      </c>
      <c r="I106" s="17" cm="1">
        <f t="array" aca="1" ref="I106" ca="1">OThetaP($C$2,B106,$C$3,$C$4,$C$5,$C$6)</f>
        <v>-14.199955683335483</v>
      </c>
      <c r="J106" s="11" cm="1">
        <f t="array" aca="1" ref="J106" ca="1">OVega($C$2,B106,$C$3,$C$4,$C$5,$C$6)</f>
        <v>0.5454103651186829</v>
      </c>
      <c r="K106" s="11" cm="1">
        <f t="array" aca="1" ref="K106" ca="1">ORhoC($C$2,B106,$C$3,$C$4,$C$5,$C$6)</f>
        <v>0.43720378628978679</v>
      </c>
      <c r="L106" s="11" cm="1">
        <f t="array" aca="1" ref="L106" ca="1">ORhop($C$2,B106,$C$3,$C$4,$C$5,$C$6)</f>
        <v>-1.2441777322267786</v>
      </c>
    </row>
    <row r="107" spans="2:12" x14ac:dyDescent="0.25">
      <c r="B107" s="7">
        <v>176</v>
      </c>
      <c r="C107" s="10" cm="1">
        <f t="array" aca="1" ref="C107" ca="1">OptionPriceC($C$2,B107,$C$3,$C$4,$C$5,$C$6)</f>
        <v>27.783987136356593</v>
      </c>
      <c r="D107" s="10" cm="1">
        <f t="array" aca="1" ref="D107" ca="1">OptionPriceP($C$2,B107,$C$3,$C$4,$C$5,$C$6)</f>
        <v>59.923028427165477</v>
      </c>
      <c r="E107" s="17" cm="1">
        <f t="array" aca="1" ref="E107" ca="1">ODeltac($C$2,B107,$C$3,$C$4,$C$5,$C$6)</f>
        <v>0.52066982980329257</v>
      </c>
      <c r="F107" s="17" cm="1">
        <f t="array" aca="1" ref="F107" ca="1">ODeltaP($C$2,B107,$C$3,$C$4,$C$5,$C$6)</f>
        <v>-0.47933017019670743</v>
      </c>
      <c r="G107" s="17" cm="1">
        <f t="array" aca="1" ref="G107" ca="1">OGamma($C$2,B107,$C$3,$C$4,$C$5,$C$6)</f>
        <v>4.136694682606753E-3</v>
      </c>
      <c r="H107" s="17" cm="1">
        <f t="array" aca="1" ref="H107" ca="1">OThetaC($C$2,B107,$C$3,$C$4,$C$5,$C$6)</f>
        <v>-20.926428661109814</v>
      </c>
      <c r="I107" s="17" cm="1">
        <f t="array" aca="1" ref="I107" ca="1">OThetaP($C$2,B107,$C$3,$C$4,$C$5,$C$6)</f>
        <v>-14.162471009477459</v>
      </c>
      <c r="J107" s="11" cm="1">
        <f t="array" aca="1" ref="J107" ca="1">OVega($C$2,B107,$C$3,$C$4,$C$5,$C$6)</f>
        <v>0.54565740732901624</v>
      </c>
      <c r="K107" s="11" cm="1">
        <f t="array" aca="1" ref="K107" ca="1">ORhoC($C$2,B107,$C$3,$C$4,$C$5,$C$6)</f>
        <v>0.43526900686519376</v>
      </c>
      <c r="L107" s="11" cm="1">
        <f t="array" aca="1" ref="L107" ca="1">ORhop($C$2,B107,$C$3,$C$4,$C$5,$C$6)</f>
        <v>-1.2557204060428953</v>
      </c>
    </row>
    <row r="108" spans="2:12" x14ac:dyDescent="0.25">
      <c r="B108" s="7">
        <v>177</v>
      </c>
      <c r="C108" s="10" cm="1">
        <f t="array" aca="1" ref="C108" ca="1">OptionPriceC($C$2,B108,$C$3,$C$4,$C$5,$C$6)</f>
        <v>27.537923164209722</v>
      </c>
      <c r="D108" s="10" cm="1">
        <f t="array" aca="1" ref="D108" ca="1">OptionPriceP($C$2,B108,$C$3,$C$4,$C$5,$C$6)</f>
        <v>60.637753894170899</v>
      </c>
      <c r="E108" s="17" cm="1">
        <f t="array" aca="1" ref="E108" ca="1">ODeltac($C$2,B108,$C$3,$C$4,$C$5,$C$6)</f>
        <v>0.51745920657991062</v>
      </c>
      <c r="F108" s="17" cm="1">
        <f t="array" aca="1" ref="F108" ca="1">ODeltaP($C$2,B108,$C$3,$C$4,$C$5,$C$6)</f>
        <v>-0.48254079342008938</v>
      </c>
      <c r="G108" s="17" cm="1">
        <f t="array" aca="1" ref="G108" ca="1">OGamma($C$2,B108,$C$3,$C$4,$C$5,$C$6)</f>
        <v>4.1382883530803778E-3</v>
      </c>
      <c r="H108" s="17" cm="1">
        <f t="array" aca="1" ref="H108" ca="1">OThetaC($C$2,B108,$C$3,$C$4,$C$5,$C$6)</f>
        <v>-20.926073352705039</v>
      </c>
      <c r="I108" s="17" cm="1">
        <f t="array" aca="1" ref="I108" ca="1">OThetaP($C$2,B108,$C$3,$C$4,$C$5,$C$6)</f>
        <v>-14.123684123506589</v>
      </c>
      <c r="J108" s="11" cm="1">
        <f t="array" aca="1" ref="J108" ca="1">OVega($C$2,B108,$C$3,$C$4,$C$5,$C$6)</f>
        <v>0.54586762301218739</v>
      </c>
      <c r="K108" s="11" cm="1">
        <f t="array" aca="1" ref="K108" ca="1">ORhoC($C$2,B108,$C$3,$C$4,$C$5,$C$6)</f>
        <v>0.43333238023054188</v>
      </c>
      <c r="L108" s="11" cm="1">
        <f t="array" aca="1" ref="L108" ca="1">ORhop($C$2,B108,$C$3,$C$4,$C$5,$C$6)</f>
        <v>-1.2672649270690699</v>
      </c>
    </row>
    <row r="109" spans="2:12" x14ac:dyDescent="0.25">
      <c r="B109" s="7">
        <v>178</v>
      </c>
      <c r="C109" s="10" cm="1">
        <f t="array" aca="1" ref="C109" ca="1">OptionPriceC($C$2,B109,$C$3,$C$4,$C$5,$C$6)</f>
        <v>27.29433698674422</v>
      </c>
      <c r="D109" s="10" cm="1">
        <f t="array" aca="1" ref="D109" ca="1">OptionPriceP($C$2,B109,$C$3,$C$4,$C$5,$C$6)</f>
        <v>61.354957155857733</v>
      </c>
      <c r="E109" s="17" cm="1">
        <f t="array" aca="1" ref="E109" ca="1">ODeltac($C$2,B109,$C$3,$C$4,$C$5,$C$6)</f>
        <v>0.51426554799277158</v>
      </c>
      <c r="F109" s="17" cm="1">
        <f t="array" aca="1" ref="F109" ca="1">ODeltaP($C$2,B109,$C$3,$C$4,$C$5,$C$6)</f>
        <v>-0.48573445200722842</v>
      </c>
      <c r="G109" s="17" cm="1">
        <f t="array" aca="1" ref="G109" ca="1">OGamma($C$2,B109,$C$3,$C$4,$C$5,$C$6)</f>
        <v>4.1396071841858974E-3</v>
      </c>
      <c r="H109" s="17" cm="1">
        <f t="array" aca="1" ref="H109" ca="1">OThetaC($C$2,B109,$C$3,$C$4,$C$5,$C$6)</f>
        <v>-20.924437208861168</v>
      </c>
      <c r="I109" s="17" cm="1">
        <f t="array" aca="1" ref="I109" ca="1">OThetaP($C$2,B109,$C$3,$C$4,$C$5,$C$6)</f>
        <v>-14.083616402096627</v>
      </c>
      <c r="J109" s="11" cm="1">
        <f t="array" aca="1" ref="J109" ca="1">OVega($C$2,B109,$C$3,$C$4,$C$5,$C$6)</f>
        <v>0.54604158556368265</v>
      </c>
      <c r="K109" s="11" cm="1">
        <f t="array" aca="1" ref="K109" ca="1">ORhoC($C$2,B109,$C$3,$C$4,$C$5,$C$6)</f>
        <v>0.43139421039790982</v>
      </c>
      <c r="L109" s="11" cm="1">
        <f t="array" aca="1" ref="L109" ca="1">ORhop($C$2,B109,$C$3,$C$4,$C$5,$C$6)</f>
        <v>-1.2788109912932253</v>
      </c>
    </row>
    <row r="110" spans="2:12" x14ac:dyDescent="0.25">
      <c r="B110" s="7">
        <v>179</v>
      </c>
      <c r="C110" s="10" cm="1">
        <f t="array" aca="1" ref="C110" ca="1">OptionPriceC($C$2,B110,$C$3,$C$4,$C$5,$C$6)</f>
        <v>27.053201622665419</v>
      </c>
      <c r="D110" s="10" cm="1">
        <f t="array" aca="1" ref="D110" ca="1">OptionPriceP($C$2,B110,$C$3,$C$4,$C$5,$C$6)</f>
        <v>62.074611230931282</v>
      </c>
      <c r="E110" s="17" cm="1">
        <f t="array" aca="1" ref="E110" ca="1">ODeltac($C$2,B110,$C$3,$C$4,$C$5,$C$6)</f>
        <v>0.5110888731862181</v>
      </c>
      <c r="F110" s="17" cm="1">
        <f t="array" aca="1" ref="F110" ca="1">ODeltaP($C$2,B110,$C$3,$C$4,$C$5,$C$6)</f>
        <v>-0.4889111268137819</v>
      </c>
      <c r="G110" s="17" cm="1">
        <f t="array" aca="1" ref="G110" ca="1">OGamma($C$2,B110,$C$3,$C$4,$C$5,$C$6)</f>
        <v>4.1406554888050503E-3</v>
      </c>
      <c r="H110" s="17" cm="1">
        <f t="array" aca="1" ref="H110" ca="1">OThetaC($C$2,B110,$C$3,$C$4,$C$5,$C$6)</f>
        <v>-20.921541416191321</v>
      </c>
      <c r="I110" s="17" cm="1">
        <f t="array" aca="1" ref="I110" ca="1">OThetaP($C$2,B110,$C$3,$C$4,$C$5,$C$6)</f>
        <v>-14.042289031860687</v>
      </c>
      <c r="J110" s="11" cm="1">
        <f t="array" aca="1" ref="J110" ca="1">OVega($C$2,B110,$C$3,$C$4,$C$5,$C$6)</f>
        <v>0.5461798638811477</v>
      </c>
      <c r="K110" s="11" cm="1">
        <f t="array" aca="1" ref="K110" ca="1">ORhoC($C$2,B110,$C$3,$C$4,$C$5,$C$6)</f>
        <v>0.42945479340031689</v>
      </c>
      <c r="L110" s="11" cm="1">
        <f t="array" aca="1" ref="L110" ca="1">ORhop($C$2,B110,$C$3,$C$4,$C$5,$C$6)</f>
        <v>-1.2903583026823418</v>
      </c>
    </row>
    <row r="111" spans="2:12" x14ac:dyDescent="0.25">
      <c r="B111" s="7">
        <v>180</v>
      </c>
      <c r="C111" s="10" cm="1">
        <f t="array" aca="1" ref="C111" ca="1">OptionPriceC($C$2,B111,$C$3,$C$4,$C$5,$C$6)</f>
        <v>26.814490378882631</v>
      </c>
      <c r="D111" s="10" cm="1">
        <f t="array" aca="1" ref="D111" ca="1">OptionPriceP($C$2,B111,$C$3,$C$4,$C$5,$C$6)</f>
        <v>62.796689426300802</v>
      </c>
      <c r="E111" s="17" cm="1">
        <f t="array" aca="1" ref="E111" ca="1">ODeltac($C$2,B111,$C$3,$C$4,$C$5,$C$6)</f>
        <v>0.50792919770704259</v>
      </c>
      <c r="F111" s="17" cm="1">
        <f t="array" aca="1" ref="F111" ca="1">ODeltaP($C$2,B111,$C$3,$C$4,$C$5,$C$6)</f>
        <v>-0.49207080229295741</v>
      </c>
      <c r="G111" s="17" cm="1">
        <f t="array" aca="1" ref="G111" ca="1">OGamma($C$2,B111,$C$3,$C$4,$C$5,$C$6)</f>
        <v>4.1414375450503828E-3</v>
      </c>
      <c r="H111" s="17" cm="1">
        <f t="array" aca="1" ref="H111" ca="1">OThetaC($C$2,B111,$C$3,$C$4,$C$5,$C$6)</f>
        <v>-20.917406968817524</v>
      </c>
      <c r="I111" s="17" cm="1">
        <f t="array" aca="1" ref="I111" ca="1">OThetaP($C$2,B111,$C$3,$C$4,$C$5,$C$6)</f>
        <v>-13.999723006920798</v>
      </c>
      <c r="J111" s="11" cm="1">
        <f t="array" aca="1" ref="J111" ca="1">OVega($C$2,B111,$C$3,$C$4,$C$5,$C$6)</f>
        <v>0.5462830222759425</v>
      </c>
      <c r="K111" s="11" cm="1">
        <f t="array" aca="1" ref="K111" ca="1">ORhoC($C$2,B111,$C$3,$C$4,$C$5,$C$6)</f>
        <v>0.42751441746154151</v>
      </c>
      <c r="L111" s="11" cm="1">
        <f t="array" aca="1" ref="L111" ca="1">ORhop($C$2,B111,$C$3,$C$4,$C$5,$C$6)</f>
        <v>-1.3019065730126402</v>
      </c>
    </row>
    <row r="112" spans="2:12" x14ac:dyDescent="0.25">
      <c r="B112" s="7">
        <v>181</v>
      </c>
      <c r="C112" s="10" cm="1">
        <f t="array" aca="1" ref="C112" ca="1">OptionPriceC($C$2,B112,$C$3,$C$4,$C$5,$C$6)</f>
        <v>26.578176848402578</v>
      </c>
      <c r="D112" s="10" cm="1">
        <f t="array" aca="1" ref="D112" ca="1">OptionPriceP($C$2,B112,$C$3,$C$4,$C$5,$C$6)</f>
        <v>63.521165334973062</v>
      </c>
      <c r="E112" s="17" cm="1">
        <f t="array" aca="1" ref="E112" ca="1">ODeltac($C$2,B112,$C$3,$C$4,$C$5,$C$6)</f>
        <v>0.50478653361083381</v>
      </c>
      <c r="F112" s="17" cm="1">
        <f t="array" aca="1" ref="F112" ca="1">ODeltaP($C$2,B112,$C$3,$C$4,$C$5,$C$6)</f>
        <v>-0.49521346638916619</v>
      </c>
      <c r="G112" s="17" cm="1">
        <f t="array" aca="1" ref="G112" ca="1">OGamma($C$2,B112,$C$3,$C$4,$C$5,$C$6)</f>
        <v>4.1419575956441797E-3</v>
      </c>
      <c r="H112" s="17" cm="1">
        <f t="array" aca="1" ref="H112" ca="1">OThetaC($C$2,B112,$C$3,$C$4,$C$5,$C$6)</f>
        <v>-20.912054666157108</v>
      </c>
      <c r="I112" s="17" cm="1">
        <f t="array" aca="1" ref="I112" ca="1">OThetaP($C$2,B112,$C$3,$C$4,$C$5,$C$6)</f>
        <v>-13.95593912669429</v>
      </c>
      <c r="J112" s="11" cm="1">
        <f t="array" aca="1" ref="J112" ca="1">OVega($C$2,B112,$C$3,$C$4,$C$5,$C$6)</f>
        <v>0.54635162039121665</v>
      </c>
      <c r="K112" s="11" cm="1">
        <f t="array" aca="1" ref="K112" ca="1">ORhoC($C$2,B112,$C$3,$C$4,$C$5,$C$6)</f>
        <v>0.42557336316283867</v>
      </c>
      <c r="L112" s="11" cm="1">
        <f t="array" aca="1" ref="L112" ca="1">ORhop($C$2,B112,$C$3,$C$4,$C$5,$C$6)</f>
        <v>-1.3134555217028663</v>
      </c>
    </row>
    <row r="113" spans="2:12" x14ac:dyDescent="0.25">
      <c r="B113" s="7">
        <v>182</v>
      </c>
      <c r="C113" s="10" cm="1">
        <f t="array" aca="1" ref="C113" ca="1">OptionPriceC($C$2,B113,$C$3,$C$4,$C$5,$C$6)</f>
        <v>26.344234908189691</v>
      </c>
      <c r="D113" s="10" cm="1">
        <f t="array" aca="1" ref="D113" ca="1">OptionPriceP($C$2,B113,$C$3,$C$4,$C$5,$C$6)</f>
        <v>64.248012833912497</v>
      </c>
      <c r="E113" s="17" cm="1">
        <f t="array" aca="1" ref="E113" ca="1">ODeltac($C$2,B113,$C$3,$C$4,$C$5,$C$6)</f>
        <v>0.50166088956584387</v>
      </c>
      <c r="F113" s="17" cm="1">
        <f t="array" aca="1" ref="F113" ca="1">ODeltaP($C$2,B113,$C$3,$C$4,$C$5,$C$6)</f>
        <v>-0.49833911043415613</v>
      </c>
      <c r="G113" s="17" cm="1">
        <f t="array" aca="1" ref="G113" ca="1">OGamma($C$2,B113,$C$3,$C$4,$C$5,$C$6)</f>
        <v>4.1422198473448054E-3</v>
      </c>
      <c r="H113" s="17" cm="1">
        <f t="array" aca="1" ref="H113" ca="1">OThetaC($C$2,B113,$C$3,$C$4,$C$5,$C$6)</f>
        <v>-20.90550511091681</v>
      </c>
      <c r="I113" s="17" cm="1">
        <f t="array" aca="1" ref="I113" ca="1">OThetaP($C$2,B113,$C$3,$C$4,$C$5,$C$6)</f>
        <v>-13.910957993887898</v>
      </c>
      <c r="J113" s="11" cm="1">
        <f t="array" aca="1" ref="J113" ca="1">OVega($C$2,B113,$C$3,$C$4,$C$5,$C$6)</f>
        <v>0.54638621312624069</v>
      </c>
      <c r="K113" s="11" cm="1">
        <f t="array" aca="1" ref="K113" ca="1">ORhoC($C$2,B113,$C$3,$C$4,$C$5,$C$6)</f>
        <v>0.42363190360659331</v>
      </c>
      <c r="L113" s="11" cm="1">
        <f t="array" aca="1" ref="L113" ca="1">ORhop($C$2,B113,$C$3,$C$4,$C$5,$C$6)</f>
        <v>-1.3250048756506347</v>
      </c>
    </row>
    <row r="114" spans="2:12" x14ac:dyDescent="0.25">
      <c r="B114" s="7">
        <v>183</v>
      </c>
      <c r="C114" s="10" cm="1">
        <f t="array" aca="1" ref="C114" ca="1">OptionPriceC($C$2,B114,$C$3,$C$4,$C$5,$C$6)</f>
        <v>26.11263871699628</v>
      </c>
      <c r="D114" s="10" cm="1">
        <f t="array" aca="1" ref="D114" ca="1">OptionPriceP($C$2,B114,$C$3,$C$4,$C$5,$C$6)</f>
        <v>64.977206081871429</v>
      </c>
      <c r="E114" s="17" cm="1">
        <f t="array" aca="1" ref="E114" ca="1">ODeltac($C$2,B114,$C$3,$C$4,$C$5,$C$6)</f>
        <v>0.49855227095442262</v>
      </c>
      <c r="F114" s="17" cm="1">
        <f t="array" aca="1" ref="F114" ca="1">ODeltaP($C$2,B114,$C$3,$C$4,$C$5,$C$6)</f>
        <v>-0.50144772904557744</v>
      </c>
      <c r="G114" s="17" cm="1">
        <f t="array" aca="1" ref="G114" ca="1">OGamma($C$2,B114,$C$3,$C$4,$C$5,$C$6)</f>
        <v>4.1422284704185448E-3</v>
      </c>
      <c r="H114" s="17" cm="1">
        <f t="array" aca="1" ref="H114" ca="1">OThetaC($C$2,B114,$C$3,$C$4,$C$5,$C$6)</f>
        <v>-20.897778707285731</v>
      </c>
      <c r="I114" s="17" cm="1">
        <f t="array" aca="1" ref="I114" ca="1">OThetaP($C$2,B114,$C$3,$C$4,$C$5,$C$6)</f>
        <v>-13.864800012690726</v>
      </c>
      <c r="J114" s="11" cm="1">
        <f t="array" aca="1" ref="J114" ca="1">OVega($C$2,B114,$C$3,$C$4,$C$5,$C$6)</f>
        <v>0.54638735056673871</v>
      </c>
      <c r="K114" s="11" cm="1">
        <f t="array" aca="1" ref="K114" ca="1">ORhoC($C$2,B114,$C$3,$C$4,$C$5,$C$6)</f>
        <v>0.42169030457694356</v>
      </c>
      <c r="L114" s="11" cm="1">
        <f t="array" aca="1" ref="L114" ca="1">ORhop($C$2,B114,$C$3,$C$4,$C$5,$C$6)</f>
        <v>-1.3365543690718082</v>
      </c>
    </row>
    <row r="115" spans="2:12" x14ac:dyDescent="0.25">
      <c r="B115" s="7">
        <v>184</v>
      </c>
      <c r="C115" s="10" cm="1">
        <f t="array" aca="1" ref="C115" ca="1">OptionPriceC($C$2,B115,$C$3,$C$4,$C$5,$C$6)</f>
        <v>25.883362713165099</v>
      </c>
      <c r="D115" s="10" cm="1">
        <f t="array" aca="1" ref="D115" ca="1">OptionPriceP($C$2,B115,$C$3,$C$4,$C$5,$C$6)</f>
        <v>65.708719517192549</v>
      </c>
      <c r="E115" s="17" cm="1">
        <f t="array" aca="1" ref="E115" ca="1">ODeltac($C$2,B115,$C$3,$C$4,$C$5,$C$6)</f>
        <v>0.49546067997206678</v>
      </c>
      <c r="F115" s="17" cm="1">
        <f t="array" aca="1" ref="F115" ca="1">ODeltaP($C$2,B115,$C$3,$C$4,$C$5,$C$6)</f>
        <v>-0.50453932002793322</v>
      </c>
      <c r="G115" s="17" cm="1">
        <f t="array" aca="1" ref="G115" ca="1">OGamma($C$2,B115,$C$3,$C$4,$C$5,$C$6)</f>
        <v>4.1419875981550461E-3</v>
      </c>
      <c r="H115" s="17" cm="1">
        <f t="array" aca="1" ref="H115" ca="1">OThetaC($C$2,B115,$C$3,$C$4,$C$5,$C$6)</f>
        <v>-20.888895659318575</v>
      </c>
      <c r="I115" s="17" cm="1">
        <f t="array" aca="1" ref="I115" ca="1">OThetaP($C$2,B115,$C$3,$C$4,$C$5,$C$6)</f>
        <v>-13.817485387157475</v>
      </c>
      <c r="J115" s="11" cm="1">
        <f t="array" aca="1" ref="J115" ca="1">OVega($C$2,B115,$C$3,$C$4,$C$5,$C$6)</f>
        <v>0.54635557792097134</v>
      </c>
      <c r="K115" s="11" cm="1">
        <f t="array" aca="1" ref="K115" ca="1">ORhoC($C$2,B115,$C$3,$C$4,$C$5,$C$6)</f>
        <v>0.41974882469741176</v>
      </c>
      <c r="L115" s="11" cm="1">
        <f t="array" aca="1" ref="L115" ca="1">ORhop($C$2,B115,$C$3,$C$4,$C$5,$C$6)</f>
        <v>-1.3481037433428629</v>
      </c>
    </row>
    <row r="116" spans="2:12" x14ac:dyDescent="0.25">
      <c r="B116" s="7">
        <v>185</v>
      </c>
      <c r="C116" s="10" cm="1">
        <f t="array" aca="1" ref="C116" ca="1">OptionPriceC($C$2,B116,$C$3,$C$4,$C$5,$C$6)</f>
        <v>25.656381612406818</v>
      </c>
      <c r="D116" s="10" cm="1">
        <f t="array" aca="1" ref="D116" ca="1">OptionPriceP($C$2,B116,$C$3,$C$4,$C$5,$C$6)</f>
        <v>66.442527855586604</v>
      </c>
      <c r="E116" s="17" cm="1">
        <f t="array" aca="1" ref="E116" ca="1">ODeltac($C$2,B116,$C$3,$C$4,$C$5,$C$6)</f>
        <v>0.49238611572412816</v>
      </c>
      <c r="F116" s="17" cm="1">
        <f t="array" aca="1" ref="F116" ca="1">ODeltaP($C$2,B116,$C$3,$C$4,$C$5,$C$6)</f>
        <v>-0.50761388427587184</v>
      </c>
      <c r="G116" s="17" cm="1">
        <f t="array" aca="1" ref="G116" ca="1">OGamma($C$2,B116,$C$3,$C$4,$C$5,$C$6)</f>
        <v>4.1415013264245633E-3</v>
      </c>
      <c r="H116" s="17" cm="1">
        <f t="array" aca="1" ref="H116" ca="1">OThetaC($C$2,B116,$C$3,$C$4,$C$5,$C$6)</f>
        <v>-20.878875969500896</v>
      </c>
      <c r="I116" s="17" cm="1">
        <f t="array" aca="1" ref="I116" ca="1">OThetaP($C$2,B116,$C$3,$C$4,$C$5,$C$6)</f>
        <v>-13.769034119773705</v>
      </c>
      <c r="J116" s="11" cm="1">
        <f t="array" aca="1" ref="J116" ca="1">OVega($C$2,B116,$C$3,$C$4,$C$5,$C$6)</f>
        <v>0.54629143546133363</v>
      </c>
      <c r="K116" s="11" cm="1">
        <f t="array" aca="1" ref="K116" ca="1">ORhoC($C$2,B116,$C$3,$C$4,$C$5,$C$6)</f>
        <v>0.417807715585582</v>
      </c>
      <c r="L116" s="11" cm="1">
        <f t="array" aca="1" ref="L116" ca="1">ORhop($C$2,B116,$C$3,$C$4,$C$5,$C$6)</f>
        <v>-1.3596527468462158</v>
      </c>
    </row>
    <row r="117" spans="2:12" x14ac:dyDescent="0.25">
      <c r="B117" s="7">
        <v>186</v>
      </c>
      <c r="C117" s="10" cm="1">
        <f t="array" aca="1" ref="C117" ca="1">OptionPriceC($C$2,B117,$C$3,$C$4,$C$5,$C$6)</f>
        <v>25.431670405554797</v>
      </c>
      <c r="D117" s="10" cm="1">
        <f t="array" aca="1" ref="D117" ca="1">OptionPriceP($C$2,B117,$C$3,$C$4,$C$5,$C$6)</f>
        <v>67.178606087886877</v>
      </c>
      <c r="E117" s="17" cm="1">
        <f t="array" aca="1" ref="E117" ca="1">ODeltac($C$2,B117,$C$3,$C$4,$C$5,$C$6)</f>
        <v>0.48932857432022731</v>
      </c>
      <c r="F117" s="17" cm="1">
        <f t="array" aca="1" ref="F117" ca="1">ODeltaP($C$2,B117,$C$3,$C$4,$C$5,$C$6)</f>
        <v>-0.51067142567977264</v>
      </c>
      <c r="G117" s="17" cm="1">
        <f t="array" aca="1" ref="G117" ca="1">OGamma($C$2,B117,$C$3,$C$4,$C$5,$C$6)</f>
        <v>4.1407737132752474E-3</v>
      </c>
      <c r="H117" s="17" cm="1">
        <f t="array" aca="1" ref="H117" ca="1">OThetaC($C$2,B117,$C$3,$C$4,$C$5,$C$6)</f>
        <v>-20.867739437488471</v>
      </c>
      <c r="I117" s="17" cm="1">
        <f t="array" aca="1" ref="I117" ca="1">OThetaP($C$2,B117,$C$3,$C$4,$C$5,$C$6)</f>
        <v>-13.719466010195186</v>
      </c>
      <c r="J117" s="11" cm="1">
        <f t="array" aca="1" ref="J117" ca="1">OVega($C$2,B117,$C$3,$C$4,$C$5,$C$6)</f>
        <v>0.54619545847123496</v>
      </c>
      <c r="K117" s="11" cm="1">
        <f t="array" aca="1" ref="K117" ca="1">ORhoC($C$2,B117,$C$3,$C$4,$C$5,$C$6)</f>
        <v>0.41586722200486109</v>
      </c>
      <c r="L117" s="11" cm="1">
        <f t="array" aca="1" ref="L117" ca="1">ORhop($C$2,B117,$C$3,$C$4,$C$5,$C$6)</f>
        <v>-1.3712011348184598</v>
      </c>
    </row>
    <row r="118" spans="2:12" x14ac:dyDescent="0.25">
      <c r="B118" s="7">
        <v>187</v>
      </c>
      <c r="C118" s="10" cm="1">
        <f t="array" aca="1" ref="C118" ca="1">OptionPriceC($C$2,B118,$C$3,$C$4,$C$5,$C$6)</f>
        <v>25.209204356299445</v>
      </c>
      <c r="D118" s="10" cm="1">
        <f t="array" aca="1" ref="D118" ca="1">OptionPriceP($C$2,B118,$C$3,$C$4,$C$5,$C$6)</f>
        <v>67.916929477783881</v>
      </c>
      <c r="E118" s="17" cm="1">
        <f t="array" aca="1" ref="E118" ca="1">ODeltac($C$2,B118,$C$3,$C$4,$C$5,$C$6)</f>
        <v>0.48628804896641786</v>
      </c>
      <c r="F118" s="17" cm="1">
        <f t="array" aca="1" ref="F118" ca="1">ODeltaP($C$2,B118,$C$3,$C$4,$C$5,$C$6)</f>
        <v>-0.51371195103358214</v>
      </c>
      <c r="G118" s="17" cm="1">
        <f t="array" aca="1" ref="G118" ca="1">OGamma($C$2,B118,$C$3,$C$4,$C$5,$C$6)</f>
        <v>4.1398087785688041E-3</v>
      </c>
      <c r="H118" s="17" cm="1">
        <f t="array" aca="1" ref="H118" ca="1">OThetaC($C$2,B118,$C$3,$C$4,$C$5,$C$6)</f>
        <v>-20.855505659013019</v>
      </c>
      <c r="I118" s="17" cm="1">
        <f t="array" aca="1" ref="I118" ca="1">OThetaP($C$2,B118,$C$3,$C$4,$C$5,$C$6)</f>
        <v>-13.668800654153639</v>
      </c>
      <c r="J118" s="11" cm="1">
        <f t="array" aca="1" ref="J118" ca="1">OVega($C$2,B118,$C$3,$C$4,$C$5,$C$6)</f>
        <v>0.54606817719703937</v>
      </c>
      <c r="K118" s="11" cm="1">
        <f t="array" aca="1" ref="K118" ca="1">ORhoC($C$2,B118,$C$3,$C$4,$C$5,$C$6)</f>
        <v>0.41392758201336255</v>
      </c>
      <c r="L118" s="11" cm="1">
        <f t="array" aca="1" ref="L118" ca="1">ORhop($C$2,B118,$C$3,$C$4,$C$5,$C$6)</f>
        <v>-1.3827486692014819</v>
      </c>
    </row>
    <row r="119" spans="2:12" x14ac:dyDescent="0.25">
      <c r="B119" s="7">
        <v>188</v>
      </c>
      <c r="C119" s="10" cm="1">
        <f t="array" aca="1" ref="C119" ca="1">OptionPriceC($C$2,B119,$C$3,$C$4,$C$5,$C$6)</f>
        <v>24.988958998904387</v>
      </c>
      <c r="D119" s="10" cm="1">
        <f t="array" aca="1" ref="D119" ca="1">OptionPriceP($C$2,B119,$C$3,$C$4,$C$5,$C$6)</f>
        <v>68.657473559541145</v>
      </c>
      <c r="E119" s="17" cm="1">
        <f t="array" aca="1" ref="E119" ca="1">ODeltac($C$2,B119,$C$3,$C$4,$C$5,$C$6)</f>
        <v>0.48326453005514514</v>
      </c>
      <c r="F119" s="17" cm="1">
        <f t="array" aca="1" ref="F119" ca="1">ODeltaP($C$2,B119,$C$3,$C$4,$C$5,$C$6)</f>
        <v>-0.51673546994485486</v>
      </c>
      <c r="G119" s="17" cm="1">
        <f t="array" aca="1" ref="G119" ca="1">OGamma($C$2,B119,$C$3,$C$4,$C$5,$C$6)</f>
        <v>4.1386105036528781E-3</v>
      </c>
      <c r="H119" s="17" cm="1">
        <f t="array" aca="1" ref="H119" ca="1">OThetaC($C$2,B119,$C$3,$C$4,$C$5,$C$6)</f>
        <v>-20.842194024947023</v>
      </c>
      <c r="I119" s="17" cm="1">
        <f t="array" aca="1" ref="I119" ca="1">OThetaP($C$2,B119,$C$3,$C$4,$C$5,$C$6)</f>
        <v>-13.617057442521553</v>
      </c>
      <c r="J119" s="11" cm="1">
        <f t="array" aca="1" ref="J119" ca="1">OVega($C$2,B119,$C$3,$C$4,$C$5,$C$6)</f>
        <v>0.54591011680485213</v>
      </c>
      <c r="K119" s="11" cm="1">
        <f t="array" aca="1" ref="K119" ca="1">ORhoC($C$2,B119,$C$3,$C$4,$C$5,$C$6)</f>
        <v>0.41198902710995294</v>
      </c>
      <c r="L119" s="11" cm="1">
        <f t="array" aca="1" ref="L119" ca="1">ORhop($C$2,B119,$C$3,$C$4,$C$5,$C$6)</f>
        <v>-1.3942951184964147</v>
      </c>
    </row>
    <row r="120" spans="2:12" x14ac:dyDescent="0.25">
      <c r="B120" s="7">
        <v>189</v>
      </c>
      <c r="C120" s="10" cm="1">
        <f t="array" aca="1" ref="C120" ca="1">OptionPriceC($C$2,B120,$C$3,$C$4,$C$5,$C$6)</f>
        <v>24.770910135906448</v>
      </c>
      <c r="D120" s="10" cm="1">
        <f t="array" aca="1" ref="D120" ca="1">OptionPriceP($C$2,B120,$C$3,$C$4,$C$5,$C$6)</f>
        <v>69.400214135695521</v>
      </c>
      <c r="E120" s="17" cm="1">
        <f t="array" aca="1" ref="E120" ca="1">ODeltac($C$2,B120,$C$3,$C$4,$C$5,$C$6)</f>
        <v>0.48025800525304463</v>
      </c>
      <c r="F120" s="17" cm="1">
        <f t="array" aca="1" ref="F120" ca="1">ODeltaP($C$2,B120,$C$3,$C$4,$C$5,$C$6)</f>
        <v>-0.51974199474695537</v>
      </c>
      <c r="G120" s="17" cm="1">
        <f t="array" aca="1" ref="G120" ca="1">OGamma($C$2,B120,$C$3,$C$4,$C$5,$C$6)</f>
        <v>4.1371828310686068E-3</v>
      </c>
      <c r="H120" s="17" cm="1">
        <f t="array" aca="1" ref="H120" ca="1">OThetaC($C$2,B120,$C$3,$C$4,$C$5,$C$6)</f>
        <v>-20.827823720520364</v>
      </c>
      <c r="I120" s="17" cm="1">
        <f t="array" aca="1" ref="I120" ca="1">OThetaP($C$2,B120,$C$3,$C$4,$C$5,$C$6)</f>
        <v>-13.564255560528801</v>
      </c>
      <c r="J120" s="11" cm="1">
        <f t="array" aca="1" ref="J120" ca="1">OVega($C$2,B120,$C$3,$C$4,$C$5,$C$6)</f>
        <v>0.54572179734194293</v>
      </c>
      <c r="K120" s="11" cm="1">
        <f t="array" aca="1" ref="K120" ca="1">ORhoC($C$2,B120,$C$3,$C$4,$C$5,$C$6)</f>
        <v>0.41005178237750017</v>
      </c>
      <c r="L120" s="11" cm="1">
        <f t="array" aca="1" ref="L120" ca="1">ORhop($C$2,B120,$C$3,$C$4,$C$5,$C$6)</f>
        <v>-1.4058402576203906</v>
      </c>
    </row>
    <row r="121" spans="2:12" x14ac:dyDescent="0.25">
      <c r="B121" s="7">
        <v>190</v>
      </c>
      <c r="C121" s="10" cm="1">
        <f t="array" aca="1" ref="C121" ca="1">OptionPriceC($C$2,B121,$C$3,$C$4,$C$5,$C$6)</f>
        <v>24.55503383580146</v>
      </c>
      <c r="D121" s="10" cm="1">
        <f t="array" aca="1" ref="D121" ca="1">OptionPriceP($C$2,B121,$C$3,$C$4,$C$5,$C$6)</f>
        <v>70.145127274742876</v>
      </c>
      <c r="E121" s="17" cm="1">
        <f t="array" aca="1" ref="E121" ca="1">ODeltac($C$2,B121,$C$3,$C$4,$C$5,$C$6)</f>
        <v>0.47726845958662184</v>
      </c>
      <c r="F121" s="17" cm="1">
        <f t="array" aca="1" ref="F121" ca="1">ODeltaP($C$2,B121,$C$3,$C$4,$C$5,$C$6)</f>
        <v>-0.5227315404133781</v>
      </c>
      <c r="G121" s="17" cm="1">
        <f t="array" aca="1" ref="G121" ca="1">OGamma($C$2,B121,$C$3,$C$4,$C$5,$C$6)</f>
        <v>4.1355296642918253E-3</v>
      </c>
      <c r="H121" s="17" cm="1">
        <f t="array" aca="1" ref="H121" ca="1">OThetaC($C$2,B121,$C$3,$C$4,$C$5,$C$6)</f>
        <v>-20.812413724682013</v>
      </c>
      <c r="I121" s="17" cm="1">
        <f t="array" aca="1" ref="I121" ca="1">OThetaP($C$2,B121,$C$3,$C$4,$C$5,$C$6)</f>
        <v>-13.510413987124355</v>
      </c>
      <c r="J121" s="11" cm="1">
        <f t="array" aca="1" ref="J121" ca="1">OVega($C$2,B121,$C$3,$C$4,$C$5,$C$6)</f>
        <v>0.54550373370260941</v>
      </c>
      <c r="K121" s="11" cm="1">
        <f t="array" aca="1" ref="K121" ca="1">ORhoC($C$2,B121,$C$3,$C$4,$C$5,$C$6)</f>
        <v>0.40811606662336308</v>
      </c>
      <c r="L121" s="11" cm="1">
        <f t="array" aca="1" ref="L121" ca="1">ORhop($C$2,B121,$C$3,$C$4,$C$5,$C$6)</f>
        <v>-1.4173838677660511</v>
      </c>
    </row>
    <row r="122" spans="2:12" x14ac:dyDescent="0.25">
      <c r="B122" s="7">
        <v>191</v>
      </c>
      <c r="C122" s="10" cm="1">
        <f t="array" aca="1" ref="C122" ca="1">OptionPriceC($C$2,B122,$C$3,$C$4,$C$5,$C$6)</f>
        <v>24.341306430717729</v>
      </c>
      <c r="D122" s="10" cm="1">
        <f t="array" aca="1" ref="D122" ca="1">OptionPriceP($C$2,B122,$C$3,$C$4,$C$5,$C$6)</f>
        <v>70.892189308811439</v>
      </c>
      <c r="E122" s="17" cm="1">
        <f t="array" aca="1" ref="E122" ca="1">ODeltac($C$2,B122,$C$3,$C$4,$C$5,$C$6)</f>
        <v>0.47429587552585872</v>
      </c>
      <c r="F122" s="17" cm="1">
        <f t="array" aca="1" ref="F122" ca="1">ODeltaP($C$2,B122,$C$3,$C$4,$C$5,$C$6)</f>
        <v>-0.52570412447414128</v>
      </c>
      <c r="G122" s="17" cm="1">
        <f t="array" aca="1" ref="G122" ca="1">OGamma($C$2,B122,$C$3,$C$4,$C$5,$C$6)</f>
        <v>4.13365486750645E-3</v>
      </c>
      <c r="H122" s="17" cm="1">
        <f t="array" aca="1" ref="H122" ca="1">OThetaC($C$2,B122,$C$3,$C$4,$C$5,$C$6)</f>
        <v>-20.795982809600144</v>
      </c>
      <c r="I122" s="17" cm="1">
        <f t="array" aca="1" ref="I122" ca="1">OThetaP($C$2,B122,$C$3,$C$4,$C$5,$C$6)</f>
        <v>-13.455551494476396</v>
      </c>
      <c r="J122" s="11" cm="1">
        <f t="array" aca="1" ref="J122" ca="1">OVega($C$2,B122,$C$3,$C$4,$C$5,$C$6)</f>
        <v>0.54525643559828507</v>
      </c>
      <c r="K122" s="11" cm="1">
        <f t="array" aca="1" ref="K122" ca="1">ORhoC($C$2,B122,$C$3,$C$4,$C$5,$C$6)</f>
        <v>0.40618209251716331</v>
      </c>
      <c r="L122" s="11" cm="1">
        <f t="array" aca="1" ref="L122" ca="1">ORhop($C$2,B122,$C$3,$C$4,$C$5,$C$6)</f>
        <v>-1.4289257362637739</v>
      </c>
    </row>
    <row r="123" spans="2:12" x14ac:dyDescent="0.25">
      <c r="B123" s="7">
        <v>192</v>
      </c>
      <c r="C123" s="10" cm="1">
        <f t="array" aca="1" ref="C123" ca="1">OptionPriceC($C$2,B123,$C$3,$C$4,$C$5,$C$6)</f>
        <v>24.129704514079158</v>
      </c>
      <c r="D123" s="10" cm="1">
        <f t="array" aca="1" ref="D123" ca="1">OptionPriceP($C$2,B123,$C$3,$C$4,$C$5,$C$6)</f>
        <v>71.641376831325189</v>
      </c>
      <c r="E123" s="17" cm="1">
        <f t="array" aca="1" ref="E123" ca="1">ODeltac($C$2,B123,$C$3,$C$4,$C$5,$C$6)</f>
        <v>0.47134023306578765</v>
      </c>
      <c r="F123" s="17" cm="1">
        <f t="array" aca="1" ref="F123" ca="1">ODeltaP($C$2,B123,$C$3,$C$4,$C$5,$C$6)</f>
        <v>-0.52865976693421235</v>
      </c>
      <c r="G123" s="17" cm="1">
        <f t="array" aca="1" ref="G123" ca="1">OGamma($C$2,B123,$C$3,$C$4,$C$5,$C$6)</f>
        <v>4.1315622654086517E-3</v>
      </c>
      <c r="H123" s="17" cm="1">
        <f t="array" aca="1" ref="H123" ca="1">OThetaC($C$2,B123,$C$3,$C$4,$C$5,$C$6)</f>
        <v>-20.778549540294275</v>
      </c>
      <c r="I123" s="17" cm="1">
        <f t="array" aca="1" ref="I123" ca="1">OThetaP($C$2,B123,$C$3,$C$4,$C$5,$C$6)</f>
        <v>-13.399686647604433</v>
      </c>
      <c r="J123" s="11" cm="1">
        <f t="array" aca="1" ref="J123" ca="1">OVega($C$2,B123,$C$3,$C$4,$C$5,$C$6)</f>
        <v>0.54498040753170895</v>
      </c>
      <c r="K123" s="11" cm="1">
        <f t="array" aca="1" ref="K123" ca="1">ORhoC($C$2,B123,$C$3,$C$4,$C$5,$C$6)</f>
        <v>0.40425006672587821</v>
      </c>
      <c r="L123" s="11" cm="1">
        <f t="array" aca="1" ref="L123" ca="1">ORhop($C$2,B123,$C$3,$C$4,$C$5,$C$6)</f>
        <v>-1.4404656564465821</v>
      </c>
    </row>
    <row r="124" spans="2:12" x14ac:dyDescent="0.25">
      <c r="B124" s="7">
        <v>193</v>
      </c>
      <c r="C124" s="10" cm="1">
        <f t="array" aca="1" ref="C124" ca="1">OptionPriceC($C$2,B124,$C$3,$C$4,$C$5,$C$6)</f>
        <v>23.920204938259374</v>
      </c>
      <c r="D124" s="10" cm="1">
        <f t="array" aca="1" ref="D124" ca="1">OptionPriceP($C$2,B124,$C$3,$C$4,$C$5,$C$6)</f>
        <v>72.392666694657734</v>
      </c>
      <c r="E124" s="17" cm="1">
        <f t="array" aca="1" ref="E124" ca="1">ODeltac($C$2,B124,$C$3,$C$4,$C$5,$C$6)</f>
        <v>0.46840150980607548</v>
      </c>
      <c r="F124" s="17" cm="1">
        <f t="array" aca="1" ref="F124" ca="1">ODeltaP($C$2,B124,$C$3,$C$4,$C$5,$C$6)</f>
        <v>-0.53159849019392458</v>
      </c>
      <c r="G124" s="17" cm="1">
        <f t="array" aca="1" ref="G124" ca="1">OGamma($C$2,B124,$C$3,$C$4,$C$5,$C$6)</f>
        <v>4.1292556430404387E-3</v>
      </c>
      <c r="H124" s="17" cm="1">
        <f t="array" aca="1" ref="H124" ca="1">OThetaC($C$2,B124,$C$3,$C$4,$C$5,$C$6)</f>
        <v>-20.760132274393264</v>
      </c>
      <c r="I124" s="17" cm="1">
        <f t="array" aca="1" ref="I124" ca="1">OThetaP($C$2,B124,$C$3,$C$4,$C$5,$C$6)</f>
        <v>-13.342837804137329</v>
      </c>
      <c r="J124" s="11" cm="1">
        <f t="array" aca="1" ref="J124" ca="1">OVega($C$2,B124,$C$3,$C$4,$C$5,$C$6)</f>
        <v>0.54467614877497295</v>
      </c>
      <c r="K124" s="11" cm="1">
        <f t="array" aca="1" ref="K124" ca="1">ORhoC($C$2,B124,$C$3,$C$4,$C$5,$C$6)</f>
        <v>0.40232019004629749</v>
      </c>
      <c r="L124" s="11" cm="1">
        <f t="array" aca="1" ref="L124" ca="1">ORhop($C$2,B124,$C$3,$C$4,$C$5,$C$6)</f>
        <v>-1.4520034275176863</v>
      </c>
    </row>
    <row r="125" spans="2:12" x14ac:dyDescent="0.25">
      <c r="B125" s="7">
        <v>194</v>
      </c>
      <c r="C125" s="10" cm="1">
        <f t="array" aca="1" ref="C125" ca="1">OptionPriceC($C$2,B125,$C$3,$C$4,$C$5,$C$6)</f>
        <v>23.712784812228804</v>
      </c>
      <c r="D125" s="10" cm="1">
        <f t="array" aca="1" ref="D125" ca="1">OptionPriceP($C$2,B125,$C$3,$C$4,$C$5,$C$6)</f>
        <v>73.1460360077795</v>
      </c>
      <c r="E125" s="17" cm="1">
        <f t="array" aca="1" ref="E125" ca="1">ODeltac($C$2,B125,$C$3,$C$4,$C$5,$C$6)</f>
        <v>0.46547968102865855</v>
      </c>
      <c r="F125" s="17" cm="1">
        <f t="array" aca="1" ref="F125" ca="1">ODeltaP($C$2,B125,$C$3,$C$4,$C$5,$C$6)</f>
        <v>-0.53452031897134145</v>
      </c>
      <c r="G125" s="17" cm="1">
        <f t="array" aca="1" ref="G125" ca="1">OGamma($C$2,B125,$C$3,$C$4,$C$5,$C$6)</f>
        <v>4.1267387456513597E-3</v>
      </c>
      <c r="H125" s="17" cm="1">
        <f t="array" aca="1" ref="H125" ca="1">OThetaC($C$2,B125,$C$3,$C$4,$C$5,$C$6)</f>
        <v>-20.740749162013369</v>
      </c>
      <c r="I125" s="17" cm="1">
        <f t="array" aca="1" ref="I125" ca="1">OThetaP($C$2,B125,$C$3,$C$4,$C$5,$C$6)</f>
        <v>-13.28502311419134</v>
      </c>
      <c r="J125" s="11" cm="1">
        <f t="array" aca="1" ref="J125" ca="1">OVega($C$2,B125,$C$3,$C$4,$C$5,$C$6)</f>
        <v>0.54434415335128061</v>
      </c>
      <c r="K125" s="11" cm="1">
        <f t="array" aca="1" ref="K125" ca="1">ORhoC($C$2,B125,$C$3,$C$4,$C$5,$C$6)</f>
        <v>0.40039265753488174</v>
      </c>
      <c r="L125" s="11" cm="1">
        <f t="array" aca="1" ref="L125" ca="1">ORhop($C$2,B125,$C$3,$C$4,$C$5,$C$6)</f>
        <v>-1.4635388544206254</v>
      </c>
    </row>
    <row r="126" spans="2:12" x14ac:dyDescent="0.25">
      <c r="B126" s="7">
        <v>195</v>
      </c>
      <c r="C126" s="10" cm="1">
        <f t="array" aca="1" ref="C126" ca="1">OptionPriceC($C$2,B126,$C$3,$C$4,$C$5,$C$6)</f>
        <v>23.507421499196177</v>
      </c>
      <c r="D126" s="10" cm="1">
        <f t="array" aca="1" ref="D126" ca="1">OptionPriceP($C$2,B126,$C$3,$C$4,$C$5,$C$6)</f>
        <v>73.901462133899173</v>
      </c>
      <c r="E126" s="17" cm="1">
        <f t="array" aca="1" ref="E126" ca="1">ODeltac($C$2,B126,$C$3,$C$4,$C$5,$C$6)</f>
        <v>0.46257471977347081</v>
      </c>
      <c r="F126" s="17" cm="1">
        <f t="array" aca="1" ref="F126" ca="1">ODeltaP($C$2,B126,$C$3,$C$4,$C$5,$C$6)</f>
        <v>-0.53742528022652913</v>
      </c>
      <c r="G126" s="17" cm="1">
        <f t="array" aca="1" ref="G126" ca="1">OGamma($C$2,B126,$C$3,$C$4,$C$5,$C$6)</f>
        <v>4.1240152785870466E-3</v>
      </c>
      <c r="H126" s="17" cm="1">
        <f t="array" aca="1" ref="H126" ca="1">OThetaC($C$2,B126,$C$3,$C$4,$C$5,$C$6)</f>
        <v>-20.720418145750504</v>
      </c>
      <c r="I126" s="17" cm="1">
        <f t="array" aca="1" ref="I126" ca="1">OThetaP($C$2,B126,$C$3,$C$4,$C$5,$C$6)</f>
        <v>-13.226260520362384</v>
      </c>
      <c r="J126" s="11" cm="1">
        <f t="array" aca="1" ref="J126" ca="1">OVega($C$2,B126,$C$3,$C$4,$C$5,$C$6)</f>
        <v>0.54398491002024441</v>
      </c>
      <c r="K126" s="11" cm="1">
        <f t="array" aca="1" ref="K126" ca="1">ORhoC($C$2,B126,$C$3,$C$4,$C$5,$C$6)</f>
        <v>0.39846765863506411</v>
      </c>
      <c r="L126" s="11" cm="1">
        <f t="array" aca="1" ref="L126" ca="1">ORhop($C$2,B126,$C$3,$C$4,$C$5,$C$6)</f>
        <v>-1.4750717477119659</v>
      </c>
    </row>
    <row r="127" spans="2:12" x14ac:dyDescent="0.25">
      <c r="B127" s="7">
        <v>196</v>
      </c>
      <c r="C127" s="10" cm="1">
        <f t="array" aca="1" ref="C127" ca="1">OptionPriceC($C$2,B127,$C$3,$C$4,$C$5,$C$6)</f>
        <v>23.304092614245747</v>
      </c>
      <c r="D127" s="10" cm="1">
        <f t="array" aca="1" ref="D127" ca="1">OptionPriceP($C$2,B127,$C$3,$C$4,$C$5,$C$6)</f>
        <v>74.658922688101086</v>
      </c>
      <c r="E127" s="17" cm="1">
        <f t="array" aca="1" ref="E127" ca="1">ODeltac($C$2,B127,$C$3,$C$4,$C$5,$C$6)</f>
        <v>0.45968659691230257</v>
      </c>
      <c r="F127" s="17" cm="1">
        <f t="array" aca="1" ref="F127" ca="1">ODeltaP($C$2,B127,$C$3,$C$4,$C$5,$C$6)</f>
        <v>-0.54031340308769749</v>
      </c>
      <c r="G127" s="17" cm="1">
        <f t="array" aca="1" ref="G127" ca="1">OGamma($C$2,B127,$C$3,$C$4,$C$5,$C$6)</f>
        <v>4.1210889072033907E-3</v>
      </c>
      <c r="H127" s="17" cm="1">
        <f t="array" aca="1" ref="H127" ca="1">OThetaC($C$2,B127,$C$3,$C$4,$C$5,$C$6)</f>
        <v>-20.69915696078138</v>
      </c>
      <c r="I127" s="17" cm="1">
        <f t="array" aca="1" ref="I127" ca="1">OThetaP($C$2,B127,$C$3,$C$4,$C$5,$C$6)</f>
        <v>-13.166567757827165</v>
      </c>
      <c r="J127" s="11" cm="1">
        <f t="array" aca="1" ref="J127" ca="1">OVega($C$2,B127,$C$3,$C$4,$C$5,$C$6)</f>
        <v>0.54359890226656593</v>
      </c>
      <c r="K127" s="11" cm="1">
        <f t="array" aca="1" ref="K127" ca="1">ORhoC($C$2,B127,$C$3,$C$4,$C$5,$C$6)</f>
        <v>0.39654537730203521</v>
      </c>
      <c r="L127" s="11" cm="1">
        <f t="array" aca="1" ref="L127" ca="1">ORhop($C$2,B127,$C$3,$C$4,$C$5,$C$6)</f>
        <v>-1.4866019234365184</v>
      </c>
    </row>
    <row r="128" spans="2:12" x14ac:dyDescent="0.25">
      <c r="B128" s="7">
        <v>197</v>
      </c>
      <c r="C128" s="10" cm="1">
        <f t="array" aca="1" ref="C128" ca="1">OptionPriceC($C$2,B128,$C$3,$C$4,$C$5,$C$6)</f>
        <v>23.102776021971863</v>
      </c>
      <c r="D128" s="10" cm="1">
        <f t="array" aca="1" ref="D128" ca="1">OptionPriceP($C$2,B128,$C$3,$C$4,$C$5,$C$6)</f>
        <v>75.418395534979524</v>
      </c>
      <c r="E128" s="17" cm="1">
        <f t="array" aca="1" ref="E128" ca="1">ODeltac($C$2,B128,$C$3,$C$4,$C$5,$C$6)</f>
        <v>0.45681528122083287</v>
      </c>
      <c r="F128" s="17" cm="1">
        <f t="array" aca="1" ref="F128" ca="1">ODeltaP($C$2,B128,$C$3,$C$4,$C$5,$C$6)</f>
        <v>-0.54318471877916719</v>
      </c>
      <c r="G128" s="17" cm="1">
        <f t="array" aca="1" ref="G128" ca="1">OGamma($C$2,B128,$C$3,$C$4,$C$5,$C$6)</f>
        <v>4.1179632568051835E-3</v>
      </c>
      <c r="H128" s="17" cm="1">
        <f t="array" aca="1" ref="H128" ca="1">OThetaC($C$2,B128,$C$3,$C$4,$C$5,$C$6)</f>
        <v>-20.676983135068113</v>
      </c>
      <c r="I128" s="17" cm="1">
        <f t="array" aca="1" ref="I128" ca="1">OThetaP($C$2,B128,$C$3,$C$4,$C$5,$C$6)</f>
        <v>-13.105962354547806</v>
      </c>
      <c r="J128" s="11" cm="1">
        <f t="array" aca="1" ref="J128" ca="1">OVega($C$2,B128,$C$3,$C$4,$C$5,$C$6)</f>
        <v>0.54318660829194065</v>
      </c>
      <c r="K128" s="11" cm="1">
        <f t="array" aca="1" ref="K128" ca="1">ORhoC($C$2,B128,$C$3,$C$4,$C$5,$C$6)</f>
        <v>0.39462599212505289</v>
      </c>
      <c r="L128" s="11" cm="1">
        <f t="array" aca="1" ref="L128" ca="1">ORhop($C$2,B128,$C$3,$C$4,$C$5,$C$6)</f>
        <v>-1.4981292030050239</v>
      </c>
    </row>
    <row r="129" spans="2:12" x14ac:dyDescent="0.25">
      <c r="B129" s="7">
        <v>198</v>
      </c>
      <c r="C129" s="10" cm="1">
        <f t="array" aca="1" ref="C129" ca="1">OptionPriceC($C$2,B129,$C$3,$C$4,$C$5,$C$6)</f>
        <v>22.903449834112024</v>
      </c>
      <c r="D129" s="10" cm="1">
        <f t="array" aca="1" ref="D129" ca="1">OptionPriceP($C$2,B129,$C$3,$C$4,$C$5,$C$6)</f>
        <v>76.179858786272007</v>
      </c>
      <c r="E129" s="17" cm="1">
        <f t="array" aca="1" ref="E129" ca="1">ODeltac($C$2,B129,$C$3,$C$4,$C$5,$C$6)</f>
        <v>0.453960739448871</v>
      </c>
      <c r="F129" s="17" cm="1">
        <f t="array" aca="1" ref="F129" ca="1">ODeltaP($C$2,B129,$C$3,$C$4,$C$5,$C$6)</f>
        <v>-0.54603926055112906</v>
      </c>
      <c r="G129" s="17" cm="1">
        <f t="array" aca="1" ref="G129" ca="1">OGamma($C$2,B129,$C$3,$C$4,$C$5,$C$6)</f>
        <v>4.1146419126080773E-3</v>
      </c>
      <c r="H129" s="17" cm="1">
        <f t="array" aca="1" ref="H129" ca="1">OThetaC($C$2,B129,$C$3,$C$4,$C$5,$C$6)</f>
        <v>-20.653913989661358</v>
      </c>
      <c r="I129" s="17" cm="1">
        <f t="array" aca="1" ref="I129" ca="1">OThetaP($C$2,B129,$C$3,$C$4,$C$5,$C$6)</f>
        <v>-13.044461631574958</v>
      </c>
      <c r="J129" s="11" cm="1">
        <f t="array" aca="1" ref="J129" ca="1">OVega($C$2,B129,$C$3,$C$4,$C$5,$C$6)</f>
        <v>0.54274850101004224</v>
      </c>
      <c r="K129" s="11" cm="1">
        <f t="array" aca="1" ref="K129" ca="1">ORhoC($C$2,B129,$C$3,$C$4,$C$5,$C$6)</f>
        <v>0.39270967644731408</v>
      </c>
      <c r="L129" s="11" cm="1">
        <f t="array" aca="1" ref="L129" ca="1">ORhop($C$2,B129,$C$3,$C$4,$C$5,$C$6)</f>
        <v>-1.509653413074286</v>
      </c>
    </row>
    <row r="130" spans="2:12" x14ac:dyDescent="0.25">
      <c r="B130" s="7">
        <v>199</v>
      </c>
      <c r="C130" s="10" cm="1">
        <f t="array" aca="1" ref="C130" ca="1">OptionPriceC($C$2,B130,$C$3,$C$4,$C$5,$C$6)</f>
        <v>22.706092407179895</v>
      </c>
      <c r="D130" s="10" cm="1">
        <f t="array" aca="1" ref="D130" ca="1">OptionPriceP($C$2,B130,$C$3,$C$4,$C$5,$C$6)</f>
        <v>76.9432907984922</v>
      </c>
      <c r="E130" s="17" cm="1">
        <f t="array" aca="1" ref="E130" ca="1">ODeltac($C$2,B130,$C$3,$C$4,$C$5,$C$6)</f>
        <v>0.45112293638884876</v>
      </c>
      <c r="F130" s="17" cm="1">
        <f t="array" aca="1" ref="F130" ca="1">ODeltaP($C$2,B130,$C$3,$C$4,$C$5,$C$6)</f>
        <v>-0.54887706361115129</v>
      </c>
      <c r="G130" s="17" cm="1">
        <f t="array" aca="1" ref="G130" ca="1">OGamma($C$2,B130,$C$3,$C$4,$C$5,$C$6)</f>
        <v>4.1111284197227942E-3</v>
      </c>
      <c r="H130" s="17" cm="1">
        <f t="array" aca="1" ref="H130" ca="1">OThetaC($C$2,B130,$C$3,$C$4,$C$5,$C$6)</f>
        <v>-20.629966639096931</v>
      </c>
      <c r="I130" s="17" cm="1">
        <f t="array" aca="1" ref="I130" ca="1">OThetaP($C$2,B130,$C$3,$C$4,$C$5,$C$6)</f>
        <v>-12.982082703444441</v>
      </c>
      <c r="J130" s="11" cm="1">
        <f t="array" aca="1" ref="J130" ca="1">OVega($C$2,B130,$C$3,$C$4,$C$5,$C$6)</f>
        <v>0.54228504804443833</v>
      </c>
      <c r="K130" s="11" cm="1">
        <f t="array" aca="1" ref="K130" ca="1">ORhoC($C$2,B130,$C$3,$C$4,$C$5,$C$6)</f>
        <v>0.39079659848343201</v>
      </c>
      <c r="L130" s="11" cm="1">
        <f t="array" aca="1" ref="L130" ca="1">ORhop($C$2,B130,$C$3,$C$4,$C$5,$C$6)</f>
        <v>-1.5211743854296913</v>
      </c>
    </row>
    <row r="131" spans="2:12" x14ac:dyDescent="0.25">
      <c r="B131" s="7">
        <v>200</v>
      </c>
      <c r="C131" s="10" cm="1">
        <f t="array" aca="1" ref="C131" ca="1">OptionPriceC($C$2,B131,$C$3,$C$4,$C$5,$C$6)</f>
        <v>22.510682340099279</v>
      </c>
      <c r="D131" s="10" cm="1">
        <f t="array" aca="1" ref="D131" ca="1">OptionPriceP($C$2,B131,$C$3,$C$4,$C$5,$C$6)</f>
        <v>77.70867017056392</v>
      </c>
      <c r="E131" s="17" cm="1">
        <f t="array" aca="1" ref="E131" ca="1">ODeltac($C$2,B131,$C$3,$C$4,$C$5,$C$6)</f>
        <v>0.44830183494259823</v>
      </c>
      <c r="F131" s="17" cm="1">
        <f t="array" aca="1" ref="F131" ca="1">ODeltaP($C$2,B131,$C$3,$C$4,$C$5,$C$6)</f>
        <v>-0.55169816505740177</v>
      </c>
      <c r="G131" s="17" cm="1">
        <f t="array" aca="1" ref="G131" ca="1">OGamma($C$2,B131,$C$3,$C$4,$C$5,$C$6)</f>
        <v>4.107426283160528E-3</v>
      </c>
      <c r="H131" s="17" cm="1">
        <f t="array" aca="1" ref="H131" ca="1">OThetaC($C$2,B131,$C$3,$C$4,$C$5,$C$6)</f>
        <v>-20.605157991881352</v>
      </c>
      <c r="I131" s="17" cm="1">
        <f t="array" aca="1" ref="I131" ca="1">OThetaP($C$2,B131,$C$3,$C$4,$C$5,$C$6)</f>
        <v>-12.918842478662768</v>
      </c>
      <c r="J131" s="11" cm="1">
        <f t="array" aca="1" ref="J131" ca="1">OVega($C$2,B131,$C$3,$C$4,$C$5,$C$6)</f>
        <v>0.54179671172930288</v>
      </c>
      <c r="K131" s="11" cm="1">
        <f t="array" aca="1" ref="K131" ca="1">ORhoC($C$2,B131,$C$3,$C$4,$C$5,$C$6)</f>
        <v>0.38888692143455478</v>
      </c>
      <c r="L131" s="11" cm="1">
        <f t="array" aca="1" ref="L131" ca="1">ORhop($C$2,B131,$C$3,$C$4,$C$5,$C$6)</f>
        <v>-1.5326919568700916</v>
      </c>
    </row>
    <row r="132" spans="2:12" x14ac:dyDescent="0.25">
      <c r="B132" s="7">
        <v>201</v>
      </c>
      <c r="C132" s="10" cm="1">
        <f t="array" aca="1" ref="C132" ca="1">OptionPriceC($C$2,B132,$C$3,$C$4,$C$5,$C$6)</f>
        <v>22.317198471840214</v>
      </c>
      <c r="D132" s="10" cm="1">
        <f t="array" aca="1" ref="D132" ca="1">OptionPriceP($C$2,B132,$C$3,$C$4,$C$5,$C$6)</f>
        <v>78.475975741457162</v>
      </c>
      <c r="E132" s="17" cm="1">
        <f t="array" aca="1" ref="E132" ca="1">ODeltac($C$2,B132,$C$3,$C$4,$C$5,$C$6)</f>
        <v>0.44549739618645418</v>
      </c>
      <c r="F132" s="17" cm="1">
        <f t="array" aca="1" ref="F132" ca="1">ODeltaP($C$2,B132,$C$3,$C$4,$C$5,$C$6)</f>
        <v>-0.55450260381354588</v>
      </c>
      <c r="G132" s="17" cm="1">
        <f t="array" aca="1" ref="G132" ca="1">OGamma($C$2,B132,$C$3,$C$4,$C$5,$C$6)</f>
        <v>4.1035389678585263E-3</v>
      </c>
      <c r="H132" s="17" cm="1">
        <f t="array" aca="1" ref="H132" ca="1">OThetaC($C$2,B132,$C$3,$C$4,$C$5,$C$6)</f>
        <v>-20.579504751061716</v>
      </c>
      <c r="I132" s="17" cm="1">
        <f t="array" aca="1" ref="I132" ca="1">OThetaP($C$2,B132,$C$3,$C$4,$C$5,$C$6)</f>
        <v>-12.854757660277038</v>
      </c>
      <c r="J132" s="11" cm="1">
        <f t="array" aca="1" ref="J132" ca="1">OVega($C$2,B132,$C$3,$C$4,$C$5,$C$6)</f>
        <v>0.54128394911279198</v>
      </c>
      <c r="K132" s="11" cm="1">
        <f t="array" aca="1" ref="K132" ca="1">ORhoC($C$2,B132,$C$3,$C$4,$C$5,$C$6)</f>
        <v>0.38698080360116932</v>
      </c>
      <c r="L132" s="11" cm="1">
        <f t="array" aca="1" ref="L132" ca="1">ORhop($C$2,B132,$C$3,$C$4,$C$5,$C$6)</f>
        <v>-1.5442059690950003</v>
      </c>
    </row>
    <row r="133" spans="2:12" x14ac:dyDescent="0.25">
      <c r="B133" s="7">
        <v>202</v>
      </c>
      <c r="C133" s="10" cm="1">
        <f t="array" aca="1" ref="C133" ca="1">OptionPriceC($C$2,B133,$C$3,$C$4,$C$5,$C$6)</f>
        <v>22.125619879058334</v>
      </c>
      <c r="D133" s="10" cm="1">
        <f t="array" aca="1" ref="D133" ca="1">OptionPriceP($C$2,B133,$C$3,$C$4,$C$5,$C$6)</f>
        <v>79.245186587827618</v>
      </c>
      <c r="E133" s="17" cm="1">
        <f t="array" aca="1" ref="E133" ca="1">ODeltac($C$2,B133,$C$3,$C$4,$C$5,$C$6)</f>
        <v>0.44270957943471756</v>
      </c>
      <c r="F133" s="17" cm="1">
        <f t="array" aca="1" ref="F133" ca="1">ODeltaP($C$2,B133,$C$3,$C$4,$C$5,$C$6)</f>
        <v>-0.55729042056528244</v>
      </c>
      <c r="G133" s="17" cm="1">
        <f t="array" aca="1" ref="G133" ca="1">OGamma($C$2,B133,$C$3,$C$4,$C$5,$C$6)</f>
        <v>4.0994698987248867E-3</v>
      </c>
      <c r="H133" s="17" cm="1">
        <f t="array" aca="1" ref="H133" ca="1">OThetaC($C$2,B133,$C$3,$C$4,$C$5,$C$6)</f>
        <v>-20.553023414875529</v>
      </c>
      <c r="I133" s="17" cm="1">
        <f t="array" aca="1" ref="I133" ca="1">OThetaP($C$2,B133,$C$3,$C$4,$C$5,$C$6)</f>
        <v>-12.789844746524757</v>
      </c>
      <c r="J133" s="11" cm="1">
        <f t="array" aca="1" ref="J133" ca="1">OVega($C$2,B133,$C$3,$C$4,$C$5,$C$6)</f>
        <v>0.54074721196295106</v>
      </c>
      <c r="K133" s="11" cm="1">
        <f t="array" aca="1" ref="K133" ca="1">ORhoC($C$2,B133,$C$3,$C$4,$C$5,$C$6)</f>
        <v>0.38507839849362641</v>
      </c>
      <c r="L133" s="11" cm="1">
        <f t="array" aca="1" ref="L133" ca="1">ORhop($C$2,B133,$C$3,$C$4,$C$5,$C$6)</f>
        <v>-1.5557162685940664</v>
      </c>
    </row>
    <row r="134" spans="2:12" x14ac:dyDescent="0.25">
      <c r="B134" s="7">
        <v>203</v>
      </c>
      <c r="C134" s="10" cm="1">
        <f t="array" aca="1" ref="C134" ca="1">OptionPriceC($C$2,B134,$C$3,$C$4,$C$5,$C$6)</f>
        <v>21.93592587373864</v>
      </c>
      <c r="D134" s="10" cm="1">
        <f t="array" aca="1" ref="D134" ca="1">OptionPriceP($C$2,B134,$C$3,$C$4,$C$5,$C$6)</f>
        <v>80.016282021660231</v>
      </c>
      <c r="E134" s="17" cm="1">
        <f t="array" aca="1" ref="E134" ca="1">ODeltac($C$2,B134,$C$3,$C$4,$C$5,$C$6)</f>
        <v>0.43993834230151452</v>
      </c>
      <c r="F134" s="17" cm="1">
        <f t="array" aca="1" ref="F134" ca="1">ODeltaP($C$2,B134,$C$3,$C$4,$C$5,$C$6)</f>
        <v>-0.56006165769848548</v>
      </c>
      <c r="G134" s="17" cm="1">
        <f t="array" aca="1" ref="G134" ca="1">OGamma($C$2,B134,$C$3,$C$4,$C$5,$C$6)</f>
        <v>4.095222460701633E-3</v>
      </c>
      <c r="H134" s="17" cm="1">
        <f t="array" aca="1" ref="H134" ca="1">OThetaC($C$2,B134,$C$3,$C$4,$C$5,$C$6)</f>
        <v>-20.525730277476409</v>
      </c>
      <c r="I134" s="17" cm="1">
        <f t="array" aca="1" ref="I134" ca="1">OThetaP($C$2,B134,$C$3,$C$4,$C$5,$C$6)</f>
        <v>-12.724120031559547</v>
      </c>
      <c r="J134" s="11" cm="1">
        <f t="array" aca="1" ref="J134" ca="1">OVega($C$2,B134,$C$3,$C$4,$C$5,$C$6)</f>
        <v>0.5401869467760364</v>
      </c>
      <c r="K134" s="11" cm="1">
        <f t="array" aca="1" ref="K134" ca="1">ORhoC($C$2,B134,$C$3,$C$4,$C$5,$C$6)</f>
        <v>0.38317985494042561</v>
      </c>
      <c r="L134" s="11" cm="1">
        <f t="array" aca="1" ref="L134" ca="1">ORhop($C$2,B134,$C$3,$C$4,$C$5,$C$6)</f>
        <v>-1.5672227065387905</v>
      </c>
    </row>
    <row r="135" spans="2:12" x14ac:dyDescent="0.25">
      <c r="B135" s="7">
        <v>204</v>
      </c>
      <c r="C135" s="10" cm="1">
        <f t="array" aca="1" ref="C135" ca="1">OptionPriceC($C$2,B135,$C$3,$C$4,$C$5,$C$6)</f>
        <v>21.748096000844214</v>
      </c>
      <c r="D135" s="10" cm="1">
        <f t="array" aca="1" ref="D135" ca="1">OptionPriceP($C$2,B135,$C$3,$C$4,$C$5,$C$6)</f>
        <v>80.789241587918127</v>
      </c>
      <c r="E135" s="17" cm="1">
        <f t="array" aca="1" ref="E135" ca="1">ODeltac($C$2,B135,$C$3,$C$4,$C$5,$C$6)</f>
        <v>0.43718364076108784</v>
      </c>
      <c r="F135" s="17" cm="1">
        <f t="array" aca="1" ref="F135" ca="1">ODeltaP($C$2,B135,$C$3,$C$4,$C$5,$C$6)</f>
        <v>-0.56281635923891216</v>
      </c>
      <c r="G135" s="17" cm="1">
        <f t="array" aca="1" ref="G135" ca="1">OGamma($C$2,B135,$C$3,$C$4,$C$5,$C$6)</f>
        <v>4.0907999988451628E-3</v>
      </c>
      <c r="H135" s="17" cm="1">
        <f t="array" aca="1" ref="H135" ca="1">OThetaC($C$2,B135,$C$3,$C$4,$C$5,$C$6)</f>
        <v>-20.497641429731537</v>
      </c>
      <c r="I135" s="17" cm="1">
        <f t="array" aca="1" ref="I135" ca="1">OThetaP($C$2,B135,$C$3,$C$4,$C$5,$C$6)</f>
        <v>-12.657599606248581</v>
      </c>
      <c r="J135" s="11" cm="1">
        <f t="array" aca="1" ref="J135" ca="1">OVega($C$2,B135,$C$3,$C$4,$C$5,$C$6)</f>
        <v>0.53960359478712616</v>
      </c>
      <c r="K135" s="11" cm="1">
        <f t="array" aca="1" ref="K135" ca="1">ORhoC($C$2,B135,$C$3,$C$4,$C$5,$C$6)</f>
        <v>0.38128531719430309</v>
      </c>
      <c r="L135" s="11" cm="1">
        <f t="array" aca="1" ref="L135" ca="1">ORhop($C$2,B135,$C$3,$C$4,$C$5,$C$6)</f>
        <v>-1.5787251386764363</v>
      </c>
    </row>
    <row r="136" spans="2:12" x14ac:dyDescent="0.25">
      <c r="B136" s="7">
        <v>205</v>
      </c>
      <c r="C136" s="10" cm="1">
        <f t="array" aca="1" ref="C136" ca="1">OptionPriceC($C$2,B136,$C$3,$C$4,$C$5,$C$6)</f>
        <v>21.56211003597133</v>
      </c>
      <c r="D136" s="10" cm="1">
        <f t="array" aca="1" ref="D136" ca="1">OptionPriceP($C$2,B136,$C$3,$C$4,$C$5,$C$6)</f>
        <v>81.564045062197579</v>
      </c>
      <c r="E136" s="17" cm="1">
        <f t="array" aca="1" ref="E136" ca="1">ODeltac($C$2,B136,$C$3,$C$4,$C$5,$C$6)</f>
        <v>0.43444542920655438</v>
      </c>
      <c r="F136" s="17" cm="1">
        <f t="array" aca="1" ref="F136" ca="1">ODeltaP($C$2,B136,$C$3,$C$4,$C$5,$C$6)</f>
        <v>-0.56555457079344562</v>
      </c>
      <c r="G136" s="17" cm="1">
        <f t="array" aca="1" ref="G136" ca="1">OGamma($C$2,B136,$C$3,$C$4,$C$5,$C$6)</f>
        <v>4.0862058184232067E-3</v>
      </c>
      <c r="H136" s="17" cm="1">
        <f t="array" aca="1" ref="H136" ca="1">OThetaC($C$2,B136,$C$3,$C$4,$C$5,$C$6)</f>
        <v>-20.46877276008701</v>
      </c>
      <c r="I136" s="17" cm="1">
        <f t="array" aca="1" ref="I136" ca="1">OThetaP($C$2,B136,$C$3,$C$4,$C$5,$C$6)</f>
        <v>-12.590299359037957</v>
      </c>
      <c r="J136" s="11" cm="1">
        <f t="array" aca="1" ref="J136" ca="1">OVega($C$2,B136,$C$3,$C$4,$C$5,$C$6)</f>
        <v>0.53899759198290997</v>
      </c>
      <c r="K136" s="11" cm="1">
        <f t="array" aca="1" ref="K136" ca="1">ORhoC($C$2,B136,$C$3,$C$4,$C$5,$C$6)</f>
        <v>0.37939492503615441</v>
      </c>
      <c r="L136" s="11" cm="1">
        <f t="array" aca="1" ref="L136" ca="1">ORhop($C$2,B136,$C$3,$C$4,$C$5,$C$6)</f>
        <v>-1.5902234252261083</v>
      </c>
    </row>
    <row r="137" spans="2:12" x14ac:dyDescent="0.25">
      <c r="B137" s="7">
        <v>206</v>
      </c>
      <c r="C137" s="10" cm="1">
        <f t="array" aca="1" ref="C137" ca="1">OptionPriceC($C$2,B137,$C$3,$C$4,$C$5,$C$6)</f>
        <v>21.377947983011417</v>
      </c>
      <c r="D137" s="10" cm="1">
        <f t="array" aca="1" ref="D137" ca="1">OptionPriceP($C$2,B137,$C$3,$C$4,$C$5,$C$6)</f>
        <v>82.340672448389967</v>
      </c>
      <c r="E137" s="17" cm="1">
        <f t="array" aca="1" ref="E137" ca="1">ODeltac($C$2,B137,$C$3,$C$4,$C$5,$C$6)</f>
        <v>0.43172366050716349</v>
      </c>
      <c r="F137" s="17" cm="1">
        <f t="array" aca="1" ref="F137" ca="1">ODeltaP($C$2,B137,$C$3,$C$4,$C$5,$C$6)</f>
        <v>-0.56827633949283651</v>
      </c>
      <c r="G137" s="17" cm="1">
        <f t="array" aca="1" ref="G137" ca="1">OGamma($C$2,B137,$C$3,$C$4,$C$5,$C$6)</f>
        <v>4.0814431850274661E-3</v>
      </c>
      <c r="H137" s="17" cm="1">
        <f t="array" aca="1" ref="H137" ca="1">OThetaC($C$2,B137,$C$3,$C$4,$C$5,$C$6)</f>
        <v>-20.439139955497463</v>
      </c>
      <c r="I137" s="17" cm="1">
        <f t="array" aca="1" ref="I137" ca="1">OThetaP($C$2,B137,$C$3,$C$4,$C$5,$C$6)</f>
        <v>-12.522234976882318</v>
      </c>
      <c r="J137" s="11" cm="1">
        <f t="array" aca="1" ref="J137" ca="1">OVega($C$2,B137,$C$3,$C$4,$C$5,$C$6)</f>
        <v>0.53836936911654631</v>
      </c>
      <c r="K137" s="11" cm="1">
        <f t="array" aca="1" ref="K137" ca="1">ORhoC($C$2,B137,$C$3,$C$4,$C$5,$C$6)</f>
        <v>0.37750881387683649</v>
      </c>
      <c r="L137" s="11" cm="1">
        <f t="array" aca="1" ref="L137" ca="1">ORhop($C$2,B137,$C$3,$C$4,$C$5,$C$6)</f>
        <v>-1.6017174307769491</v>
      </c>
    </row>
    <row r="138" spans="2:12" x14ac:dyDescent="0.25">
      <c r="B138" s="7">
        <v>207</v>
      </c>
      <c r="C138" s="10" cm="1">
        <f t="array" aca="1" ref="C138" ca="1">OptionPriceC($C$2,B138,$C$3,$C$4,$C$5,$C$6)</f>
        <v>21.195590071820938</v>
      </c>
      <c r="D138" s="10" cm="1">
        <f t="array" aca="1" ref="D138" ca="1">OptionPriceP($C$2,B138,$C$3,$C$4,$C$5,$C$6)</f>
        <v>83.119103976351823</v>
      </c>
      <c r="E138" s="17" cm="1">
        <f t="array" aca="1" ref="E138" ca="1">ODeltac($C$2,B138,$C$3,$C$4,$C$5,$C$6)</f>
        <v>0.42901828606408871</v>
      </c>
      <c r="F138" s="17" cm="1">
        <f t="array" aca="1" ref="F138" ca="1">ODeltaP($C$2,B138,$C$3,$C$4,$C$5,$C$6)</f>
        <v>-0.57098171393591124</v>
      </c>
      <c r="G138" s="17" cm="1">
        <f t="array" aca="1" ref="G138" ca="1">OGamma($C$2,B138,$C$3,$C$4,$C$5,$C$6)</f>
        <v>4.0765153247011212E-3</v>
      </c>
      <c r="H138" s="17" cm="1">
        <f t="array" aca="1" ref="H138" ca="1">OThetaC($C$2,B138,$C$3,$C$4,$C$5,$C$6)</f>
        <v>-20.408758502416287</v>
      </c>
      <c r="I138" s="17" cm="1">
        <f t="array" aca="1" ref="I138" ca="1">OThetaP($C$2,B138,$C$3,$C$4,$C$5,$C$6)</f>
        <v>-12.453421946235053</v>
      </c>
      <c r="J138" s="11" cm="1">
        <f t="array" aca="1" ref="J138" ca="1">OVega($C$2,B138,$C$3,$C$4,$C$5,$C$6)</f>
        <v>0.53771935172448238</v>
      </c>
      <c r="K138" s="11" cm="1">
        <f t="array" aca="1" ref="K138" ca="1">ORhoC($C$2,B138,$C$3,$C$4,$C$5,$C$6)</f>
        <v>0.3756271148568805</v>
      </c>
      <c r="L138" s="11" cm="1">
        <f t="array" aca="1" ref="L138" ca="1">ORhop($C$2,B138,$C$3,$C$4,$C$5,$C$6)</f>
        <v>-1.6132070241884284</v>
      </c>
    </row>
    <row r="139" spans="2:12" x14ac:dyDescent="0.25">
      <c r="B139" s="7">
        <v>208</v>
      </c>
      <c r="C139" s="10" cm="1">
        <f t="array" aca="1" ref="C139" ca="1">OptionPriceC($C$2,B139,$C$3,$C$4,$C$5,$C$6)</f>
        <v>21.015016755899723</v>
      </c>
      <c r="D139" s="10" cm="1">
        <f t="array" aca="1" ref="D139" ca="1">OptionPriceP($C$2,B139,$C$3,$C$4,$C$5,$C$6)</f>
        <v>83.899320099582951</v>
      </c>
      <c r="E139" s="17" cm="1">
        <f t="array" aca="1" ref="E139" ca="1">ODeltac($C$2,B139,$C$3,$C$4,$C$5,$C$6)</f>
        <v>0.42632925586478654</v>
      </c>
      <c r="F139" s="17" cm="1">
        <f t="array" aca="1" ref="F139" ca="1">ODeltaP($C$2,B139,$C$3,$C$4,$C$5,$C$6)</f>
        <v>-0.57367074413521346</v>
      </c>
      <c r="G139" s="17" cm="1">
        <f t="array" aca="1" ref="G139" ca="1">OGamma($C$2,B139,$C$3,$C$4,$C$5,$C$6)</f>
        <v>4.0714254240804401E-3</v>
      </c>
      <c r="H139" s="17" cm="1">
        <f t="array" aca="1" ref="H139" ca="1">OThetaC($C$2,B139,$C$3,$C$4,$C$5,$C$6)</f>
        <v>-20.377643687843044</v>
      </c>
      <c r="I139" s="17" cm="1">
        <f t="array" aca="1" ref="I139" ca="1">OThetaP($C$2,B139,$C$3,$C$4,$C$5,$C$6)</f>
        <v>-12.383875554095715</v>
      </c>
      <c r="J139" s="11" cm="1">
        <f t="array" aca="1" ref="J139" ca="1">OVega($C$2,B139,$C$3,$C$4,$C$5,$C$6)</f>
        <v>0.53704796014513256</v>
      </c>
      <c r="K139" s="11" cm="1">
        <f t="array" aca="1" ref="K139" ca="1">ORhoC($C$2,B139,$C$3,$C$4,$C$5,$C$6)</f>
        <v>0.37374995494415858</v>
      </c>
      <c r="L139" s="11" cm="1">
        <f t="array" aca="1" ref="L139" ca="1">ORhop($C$2,B139,$C$3,$C$4,$C$5,$C$6)</f>
        <v>-1.6246920784926737</v>
      </c>
    </row>
    <row r="140" spans="2:12" x14ac:dyDescent="0.25">
      <c r="B140" s="7">
        <v>209</v>
      </c>
      <c r="C140" s="10" cm="1">
        <f t="array" aca="1" ref="C140" ca="1">OptionPriceC($C$2,B140,$C$3,$C$4,$C$5,$C$6)</f>
        <v>20.836208710078822</v>
      </c>
      <c r="D140" s="10" cm="1">
        <f t="array" aca="1" ref="D140" ca="1">OptionPriceP($C$2,B140,$C$3,$C$4,$C$5,$C$6)</f>
        <v>84.681301492914372</v>
      </c>
      <c r="E140" s="17" cm="1">
        <f t="array" aca="1" ref="E140" ca="1">ODeltac($C$2,B140,$C$3,$C$4,$C$5,$C$6)</f>
        <v>0.42365651853595443</v>
      </c>
      <c r="F140" s="17" cm="1">
        <f t="array" aca="1" ref="F140" ca="1">ODeltaP($C$2,B140,$C$3,$C$4,$C$5,$C$6)</f>
        <v>-0.57634348146404557</v>
      </c>
      <c r="G140" s="17" cm="1">
        <f t="array" aca="1" ref="G140" ca="1">OGamma($C$2,B140,$C$3,$C$4,$C$5,$C$6)</f>
        <v>4.0661766305497482E-3</v>
      </c>
      <c r="H140" s="17" cm="1">
        <f t="array" aca="1" ref="H140" ca="1">OThetaC($C$2,B140,$C$3,$C$4,$C$5,$C$6)</f>
        <v>-20.345810600424805</v>
      </c>
      <c r="I140" s="17" cm="1">
        <f t="array" aca="1" ref="I140" ca="1">OThetaP($C$2,B140,$C$3,$C$4,$C$5,$C$6)</f>
        <v>-12.313610889111382</v>
      </c>
      <c r="J140" s="11" cm="1">
        <f t="array" aca="1" ref="J140" ca="1">OVega($C$2,B140,$C$3,$C$4,$C$5,$C$6)</f>
        <v>0.53635560953932049</v>
      </c>
      <c r="K140" s="11" cm="1">
        <f t="array" aca="1" ref="K140" ca="1">ORhoC($C$2,B140,$C$3,$C$4,$C$5,$C$6)</f>
        <v>0.37187745702953651</v>
      </c>
      <c r="L140" s="11" cm="1">
        <f t="array" aca="1" ref="L140" ca="1">ORhop($C$2,B140,$C$3,$C$4,$C$5,$C$6)</f>
        <v>-1.636172470798819</v>
      </c>
    </row>
    <row r="141" spans="2:12" x14ac:dyDescent="0.25">
      <c r="B141" s="7">
        <v>210</v>
      </c>
      <c r="C141" s="10" cm="1">
        <f t="array" aca="1" ref="C141" ca="1">OptionPriceC($C$2,B141,$C$3,$C$4,$C$5,$C$6)</f>
        <v>20.65914682821807</v>
      </c>
      <c r="D141" s="10" cm="1">
        <f t="array" aca="1" ref="D141" ca="1">OptionPriceP($C$2,B141,$C$3,$C$4,$C$5,$C$6)</f>
        <v>85.465029050205928</v>
      </c>
      <c r="E141" s="17" cm="1">
        <f t="array" aca="1" ref="E141" ca="1">ODeltac($C$2,B141,$C$3,$C$4,$C$5,$C$6)</f>
        <v>0.42100002139511894</v>
      </c>
      <c r="F141" s="17" cm="1">
        <f t="array" aca="1" ref="F141" ca="1">ODeltaP($C$2,B141,$C$3,$C$4,$C$5,$C$6)</f>
        <v>-0.57899997860488106</v>
      </c>
      <c r="G141" s="17" cm="1">
        <f t="array" aca="1" ref="G141" ca="1">OGamma($C$2,B141,$C$3,$C$4,$C$5,$C$6)</f>
        <v>4.0607720524090431E-3</v>
      </c>
      <c r="H141" s="17" cm="1">
        <f t="array" aca="1" ref="H141" ca="1">OThetaC($C$2,B141,$C$3,$C$4,$C$5,$C$6)</f>
        <v>-20.313274131608253</v>
      </c>
      <c r="I141" s="17" cm="1">
        <f t="array" aca="1" ref="I141" ca="1">OThetaP($C$2,B141,$C$3,$C$4,$C$5,$C$6)</f>
        <v>-12.242642842728738</v>
      </c>
      <c r="J141" s="11" cm="1">
        <f t="array" aca="1" ref="J141" ca="1">OVega($C$2,B141,$C$3,$C$4,$C$5,$C$6)</f>
        <v>0.53564270991238794</v>
      </c>
      <c r="K141" s="11" cm="1">
        <f t="array" aca="1" ref="K141" ca="1">ORhoC($C$2,B141,$C$3,$C$4,$C$5,$C$6)</f>
        <v>0.37000974002055281</v>
      </c>
      <c r="L141" s="11" cm="1">
        <f t="array" aca="1" ref="L141" ca="1">ORhop($C$2,B141,$C$3,$C$4,$C$5,$C$6)</f>
        <v>-1.6476480821993258</v>
      </c>
    </row>
    <row r="142" spans="2:12" x14ac:dyDescent="0.25">
      <c r="B142" s="7">
        <v>211</v>
      </c>
      <c r="C142" s="10" cm="1">
        <f t="array" aca="1" ref="C142" ca="1">OptionPriceC($C$2,B142,$C$3,$C$4,$C$5,$C$6)</f>
        <v>20.483812220914622</v>
      </c>
      <c r="D142" s="10" cm="1">
        <f t="array" aca="1" ref="D142" ca="1">OptionPriceP($C$2,B142,$C$3,$C$4,$C$5,$C$6)</f>
        <v>86.250483882054823</v>
      </c>
      <c r="E142" s="17" cm="1">
        <f t="array" aca="1" ref="E142" ca="1">ODeltac($C$2,B142,$C$3,$C$4,$C$5,$C$6)</f>
        <v>0.41835971050088538</v>
      </c>
      <c r="F142" s="17" cm="1">
        <f t="array" aca="1" ref="F142" ca="1">ODeltaP($C$2,B142,$C$3,$C$4,$C$5,$C$6)</f>
        <v>-0.58164028949911462</v>
      </c>
      <c r="G142" s="17" cm="1">
        <f t="array" aca="1" ref="G142" ca="1">OGamma($C$2,B142,$C$3,$C$4,$C$5,$C$6)</f>
        <v>4.0552147590535732E-3</v>
      </c>
      <c r="H142" s="17" cm="1">
        <f t="array" aca="1" ref="H142" ca="1">OThetaC($C$2,B142,$C$3,$C$4,$C$5,$C$6)</f>
        <v>-20.280048976839456</v>
      </c>
      <c r="I142" s="17" cm="1">
        <f t="array" aca="1" ref="I142" ca="1">OThetaP($C$2,B142,$C$3,$C$4,$C$5,$C$6)</f>
        <v>-12.170986110393848</v>
      </c>
      <c r="J142" s="11" cm="1">
        <f t="array" aca="1" ref="J142" ca="1">OVega($C$2,B142,$C$3,$C$4,$C$5,$C$6)</f>
        <v>0.53490966613788293</v>
      </c>
      <c r="K142" s="11" cm="1">
        <f t="array" aca="1" ref="K142" ca="1">ORhoC($C$2,B142,$C$3,$C$4,$C$5,$C$6)</f>
        <v>0.36814691893315593</v>
      </c>
      <c r="L142" s="11" cm="1">
        <f t="array" aca="1" ref="L142" ca="1">ORhop($C$2,B142,$C$3,$C$4,$C$5,$C$6)</f>
        <v>-1.6591187976782462</v>
      </c>
    </row>
    <row r="143" spans="2:12" x14ac:dyDescent="0.25">
      <c r="B143" s="7">
        <v>212</v>
      </c>
      <c r="C143" s="10" cm="1">
        <f t="array" aca="1" ref="C143" ca="1">OptionPriceC($C$2,B143,$C$3,$C$4,$C$5,$C$6)</f>
        <v>20.310186213222572</v>
      </c>
      <c r="D143" s="10" cm="1">
        <f t="array" aca="1" ref="D143" ca="1">OptionPriceP($C$2,B143,$C$3,$C$4,$C$5,$C$6)</f>
        <v>87.03764731351508</v>
      </c>
      <c r="E143" s="17" cm="1">
        <f t="array" aca="1" ref="E143" ca="1">ODeltac($C$2,B143,$C$3,$C$4,$C$5,$C$6)</f>
        <v>0.41573553070188063</v>
      </c>
      <c r="F143" s="17" cm="1">
        <f t="array" aca="1" ref="F143" ca="1">ODeltaP($C$2,B143,$C$3,$C$4,$C$5,$C$6)</f>
        <v>-0.58426446929811937</v>
      </c>
      <c r="G143" s="17" cm="1">
        <f t="array" aca="1" ref="G143" ca="1">OGamma($C$2,B143,$C$3,$C$4,$C$5,$C$6)</f>
        <v>4.0495077811647032E-3</v>
      </c>
      <c r="H143" s="17" cm="1">
        <f t="array" aca="1" ref="H143" ca="1">OThetaC($C$2,B143,$C$3,$C$4,$C$5,$C$6)</f>
        <v>-20.246149636808457</v>
      </c>
      <c r="I143" s="17" cm="1">
        <f t="array" aca="1" ref="I143" ca="1">OThetaP($C$2,B143,$C$3,$C$4,$C$5,$C$6)</f>
        <v>-12.098655192796759</v>
      </c>
      <c r="J143" s="11" cm="1">
        <f t="array" aca="1" ref="J143" ca="1">OVega($C$2,B143,$C$3,$C$4,$C$5,$C$6)</f>
        <v>0.53415687798273626</v>
      </c>
      <c r="K143" s="11" cm="1">
        <f t="array" aca="1" ref="K143" ca="1">ORhoC($C$2,B143,$C$3,$C$4,$C$5,$C$6)</f>
        <v>0.36628910498153927</v>
      </c>
      <c r="L143" s="11" cm="1">
        <f t="array" aca="1" ref="L143" ca="1">ORhop($C$2,B143,$C$3,$C$4,$C$5,$C$6)</f>
        <v>-1.6705845060213858</v>
      </c>
    </row>
    <row r="144" spans="2:12" x14ac:dyDescent="0.25">
      <c r="B144" s="7">
        <v>213</v>
      </c>
      <c r="C144" s="10" cm="1">
        <f t="array" aca="1" ref="C144" ca="1">OptionPriceC($C$2,B144,$C$3,$C$4,$C$5,$C$6)</f>
        <v>20.138250342384239</v>
      </c>
      <c r="D144" s="10" cm="1">
        <f t="array" aca="1" ref="D144" ca="1">OptionPriceP($C$2,B144,$C$3,$C$4,$C$5,$C$6)</f>
        <v>87.826500881829062</v>
      </c>
      <c r="E144" s="17" cm="1">
        <f t="array" aca="1" ref="E144" ca="1">ODeltac($C$2,B144,$C$3,$C$4,$C$5,$C$6)</f>
        <v>0.41312742568441613</v>
      </c>
      <c r="F144" s="17" cm="1">
        <f t="array" aca="1" ref="F144" ca="1">ODeltaP($C$2,B144,$C$3,$C$4,$C$5,$C$6)</f>
        <v>-0.58687257431558382</v>
      </c>
      <c r="G144" s="17" cm="1">
        <f t="array" aca="1" ref="G144" ca="1">OGamma($C$2,B144,$C$3,$C$4,$C$5,$C$6)</f>
        <v>4.0436541109114561E-3</v>
      </c>
      <c r="H144" s="17" cm="1">
        <f t="array" aca="1" ref="H144" ca="1">OThetaC($C$2,B144,$C$3,$C$4,$C$5,$C$6)</f>
        <v>-20.211590418735828</v>
      </c>
      <c r="I144" s="17" cm="1">
        <f t="array" aca="1" ref="I144" ca="1">OThetaP($C$2,B144,$C$3,$C$4,$C$5,$C$6)</f>
        <v>-12.025664397158033</v>
      </c>
      <c r="J144" s="11" cm="1">
        <f t="array" aca="1" ref="J144" ca="1">OVega($C$2,B144,$C$3,$C$4,$C$5,$C$6)</f>
        <v>0.53338474013384551</v>
      </c>
      <c r="K144" s="11" cm="1">
        <f t="array" aca="1" ref="K144" ca="1">ORhoC($C$2,B144,$C$3,$C$4,$C$5,$C$6)</f>
        <v>0.36443640566610824</v>
      </c>
      <c r="L144" s="11" cm="1">
        <f t="array" aca="1" ref="L144" ca="1">ORhop($C$2,B144,$C$3,$C$4,$C$5,$C$6)</f>
        <v>-1.6820450997283398</v>
      </c>
    </row>
    <row r="145" spans="2:12" x14ac:dyDescent="0.25">
      <c r="B145" s="7">
        <v>214</v>
      </c>
      <c r="C145" s="10" cm="1">
        <f t="array" aca="1" ref="C145" ca="1">OptionPriceC($C$2,B145,$C$3,$C$4,$C$5,$C$6)</f>
        <v>19.967986355574148</v>
      </c>
      <c r="D145" s="10" cm="1">
        <f t="array" aca="1" ref="D145" ca="1">OptionPriceP($C$2,B145,$C$3,$C$4,$C$5,$C$6)</f>
        <v>88.6170263341713</v>
      </c>
      <c r="E145" s="17" cm="1">
        <f t="array" aca="1" ref="E145" ca="1">ODeltac($C$2,B145,$C$3,$C$4,$C$5,$C$6)</f>
        <v>0.41053533801890385</v>
      </c>
      <c r="F145" s="17" cm="1">
        <f t="array" aca="1" ref="F145" ca="1">ODeltaP($C$2,B145,$C$3,$C$4,$C$5,$C$6)</f>
        <v>-0.58946466198109615</v>
      </c>
      <c r="G145" s="17" cm="1">
        <f t="array" aca="1" ref="G145" ca="1">OGamma($C$2,B145,$C$3,$C$4,$C$5,$C$6)</f>
        <v>4.0376567021621129E-3</v>
      </c>
      <c r="H145" s="17" cm="1">
        <f t="array" aca="1" ref="H145" ca="1">OThetaC($C$2,B145,$C$3,$C$4,$C$5,$C$6)</f>
        <v>-20.176385437698571</v>
      </c>
      <c r="I145" s="17" cm="1">
        <f t="array" aca="1" ref="I145" ca="1">OThetaP($C$2,B145,$C$3,$C$4,$C$5,$C$6)</f>
        <v>-11.952027838554683</v>
      </c>
      <c r="J145" s="11" cm="1">
        <f t="array" aca="1" ref="J145" ca="1">OVega($C$2,B145,$C$3,$C$4,$C$5,$C$6)</f>
        <v>0.53259364222598715</v>
      </c>
      <c r="K145" s="11" cm="1">
        <f t="array" aca="1" ref="K145" ca="1">ORhoC($C$2,B145,$C$3,$C$4,$C$5,$C$6)</f>
        <v>0.36258892485961125</v>
      </c>
      <c r="L145" s="11" cm="1">
        <f t="array" aca="1" ref="L145" ca="1">ORhop($C$2,B145,$C$3,$C$4,$C$5,$C$6)</f>
        <v>-1.6935004749263605</v>
      </c>
    </row>
    <row r="146" spans="2:12" x14ac:dyDescent="0.25">
      <c r="B146" s="7">
        <v>215</v>
      </c>
      <c r="C146" s="10" cm="1">
        <f t="array" aca="1" ref="C146" ca="1">OptionPriceC($C$2,B146,$C$3,$C$4,$C$5,$C$6)</f>
        <v>19.799376207655641</v>
      </c>
      <c r="D146" s="10" cm="1">
        <f t="array" aca="1" ref="D146" ca="1">OptionPriceP($C$2,B146,$C$3,$C$4,$C$5,$C$6)</f>
        <v>89.409205625405107</v>
      </c>
      <c r="E146" s="17" cm="1">
        <f t="array" aca="1" ref="E146" ca="1">ODeltac($C$2,B146,$C$3,$C$4,$C$5,$C$6)</f>
        <v>0.40795920920505063</v>
      </c>
      <c r="F146" s="17" cm="1">
        <f t="array" aca="1" ref="F146" ca="1">ODeltaP($C$2,B146,$C$3,$C$4,$C$5,$C$6)</f>
        <v>-0.59204079079494942</v>
      </c>
      <c r="G146" s="17" cm="1">
        <f t="array" aca="1" ref="G146" ca="1">OGamma($C$2,B146,$C$3,$C$4,$C$5,$C$6)</f>
        <v>4.0315184707052669E-3</v>
      </c>
      <c r="H146" s="17" cm="1">
        <f t="array" aca="1" ref="H146" ca="1">OThetaC($C$2,B146,$C$3,$C$4,$C$5,$C$6)</f>
        <v>-20.14054861799266</v>
      </c>
      <c r="I146" s="17" cm="1">
        <f t="array" aca="1" ref="I146" ca="1">OThetaP($C$2,B146,$C$3,$C$4,$C$5,$C$6)</f>
        <v>-11.877759441282681</v>
      </c>
      <c r="J146" s="11" cm="1">
        <f t="array" aca="1" ref="J146" ca="1">OVega($C$2,B146,$C$3,$C$4,$C$5,$C$6)</f>
        <v>0.53178396887097479</v>
      </c>
      <c r="K146" s="11" cm="1">
        <f t="array" aca="1" ref="K146" ca="1">ORhoC($C$2,B146,$C$3,$C$4,$C$5,$C$6)</f>
        <v>0.36074676289147178</v>
      </c>
      <c r="L146" s="11" cm="1">
        <f t="array" aca="1" ref="L146" ca="1">ORhop($C$2,B146,$C$3,$C$4,$C$5,$C$6)</f>
        <v>-1.7049505312860231</v>
      </c>
    </row>
    <row r="147" spans="2:12" x14ac:dyDescent="0.25">
      <c r="B147" s="7">
        <v>216</v>
      </c>
      <c r="C147" s="10" cm="1">
        <f t="array" aca="1" ref="C147" ca="1">OptionPriceC($C$2,B147,$C$3,$C$4,$C$5,$C$6)</f>
        <v>19.632402058950817</v>
      </c>
      <c r="D147" s="10" cm="1">
        <f t="array" aca="1" ref="D147" ca="1">OptionPriceP($C$2,B147,$C$3,$C$4,$C$5,$C$6)</f>
        <v>90.203020915852619</v>
      </c>
      <c r="E147" s="17" cm="1">
        <f t="array" aca="1" ref="E147" ca="1">ODeltac($C$2,B147,$C$3,$C$4,$C$5,$C$6)</f>
        <v>0.4053989797158617</v>
      </c>
      <c r="F147" s="17" cm="1">
        <f t="array" aca="1" ref="F147" ca="1">ODeltaP($C$2,B147,$C$3,$C$4,$C$5,$C$6)</f>
        <v>-0.5946010202841383</v>
      </c>
      <c r="G147" s="17" cm="1">
        <f t="array" aca="1" ref="G147" ca="1">OGamma($C$2,B147,$C$3,$C$4,$C$5,$C$6)</f>
        <v>4.0252422944798052E-3</v>
      </c>
      <c r="H147" s="17" cm="1">
        <f t="array" aca="1" ref="H147" ca="1">OThetaC($C$2,B147,$C$3,$C$4,$C$5,$C$6)</f>
        <v>-20.104093694529954</v>
      </c>
      <c r="I147" s="17" cm="1">
        <f t="array" aca="1" ref="I147" ca="1">OThetaP($C$2,B147,$C$3,$C$4,$C$5,$C$6)</f>
        <v>-11.802872940253881</v>
      </c>
      <c r="J147" s="11" cm="1">
        <f t="array" aca="1" ref="J147" ca="1">OVega($C$2,B147,$C$3,$C$4,$C$5,$C$6)</f>
        <v>0.53095609968799518</v>
      </c>
      <c r="K147" s="11" cm="1">
        <f t="array" aca="1" ref="K147" ca="1">ORhoC($C$2,B147,$C$3,$C$4,$C$5,$C$6)</f>
        <v>0.35891001663035632</v>
      </c>
      <c r="L147" s="11" cm="1">
        <f t="array" aca="1" ref="L147" ca="1">ORhop($C$2,B147,$C$3,$C$4,$C$5,$C$6)</f>
        <v>-1.7163951719386616</v>
      </c>
    </row>
    <row r="148" spans="2:12" x14ac:dyDescent="0.25">
      <c r="B148" s="7">
        <v>217</v>
      </c>
      <c r="C148" s="10" cm="1">
        <f t="array" aca="1" ref="C148" ca="1">OptionPriceC($C$2,B148,$C$3,$C$4,$C$5,$C$6)</f>
        <v>19.467046273024366</v>
      </c>
      <c r="D148" s="10" cm="1">
        <f t="array" aca="1" ref="D148" ca="1">OptionPriceP($C$2,B148,$C$3,$C$4,$C$5,$C$6)</f>
        <v>90.998454569078518</v>
      </c>
      <c r="E148" s="17" cm="1">
        <f t="array" aca="1" ref="E148" ca="1">ODeltac($C$2,B148,$C$3,$C$4,$C$5,$C$6)</f>
        <v>0.40285458904047905</v>
      </c>
      <c r="F148" s="17" cm="1">
        <f t="array" aca="1" ref="F148" ca="1">ODeltaP($C$2,B148,$C$3,$C$4,$C$5,$C$6)</f>
        <v>-0.59714541095952089</v>
      </c>
      <c r="G148" s="17" cm="1">
        <f t="array" aca="1" ref="G148" ca="1">OGamma($C$2,B148,$C$3,$C$4,$C$5,$C$6)</f>
        <v>4.0188310138132444E-3</v>
      </c>
      <c r="H148" s="17" cm="1">
        <f t="array" aca="1" ref="H148" ca="1">OThetaC($C$2,B148,$C$3,$C$4,$C$5,$C$6)</f>
        <v>-20.067034214266851</v>
      </c>
      <c r="I148" s="17" cm="1">
        <f t="array" aca="1" ref="I148" ca="1">OThetaP($C$2,B148,$C$3,$C$4,$C$5,$C$6)</f>
        <v>-11.727381882424684</v>
      </c>
      <c r="J148" s="11" cm="1">
        <f t="array" aca="1" ref="J148" ca="1">OVega($C$2,B148,$C$3,$C$4,$C$5,$C$6)</f>
        <v>0.53011040933504661</v>
      </c>
      <c r="K148" s="11" cm="1">
        <f t="array" aca="1" ref="K148" ca="1">ORhoC($C$2,B148,$C$3,$C$4,$C$5,$C$6)</f>
        <v>0.35707877956500744</v>
      </c>
      <c r="L148" s="11" cm="1">
        <f t="array" aca="1" ref="L148" ca="1">ORhop($C$2,B148,$C$3,$C$4,$C$5,$C$6)</f>
        <v>-1.7278343033955341</v>
      </c>
    </row>
    <row r="149" spans="2:12" x14ac:dyDescent="0.25">
      <c r="B149" s="7">
        <v>218</v>
      </c>
      <c r="C149" s="10" cm="1">
        <f t="array" aca="1" ref="C149" ca="1">OptionPriceC($C$2,B149,$C$3,$C$4,$C$5,$C$6)</f>
        <v>19.303291414481492</v>
      </c>
      <c r="D149" s="10" cm="1">
        <f t="array" aca="1" ref="D149" ca="1">OptionPriceP($C$2,B149,$C$3,$C$4,$C$5,$C$6)</f>
        <v>91.795489149687953</v>
      </c>
      <c r="E149" s="17" cm="1">
        <f t="array" aca="1" ref="E149" ca="1">ODeltac($C$2,B149,$C$3,$C$4,$C$5,$C$6)</f>
        <v>0.4003259757258828</v>
      </c>
      <c r="F149" s="17" cm="1">
        <f t="array" aca="1" ref="F149" ca="1">ODeltaP($C$2,B149,$C$3,$C$4,$C$5,$C$6)</f>
        <v>-0.5996740242741172</v>
      </c>
      <c r="G149" s="17" cm="1">
        <f t="array" aca="1" ref="G149" ca="1">OGamma($C$2,B149,$C$3,$C$4,$C$5,$C$6)</f>
        <v>4.01228743166792E-3</v>
      </c>
      <c r="H149" s="17" cm="1">
        <f t="array" aca="1" ref="H149" ca="1">OThetaC($C$2,B149,$C$3,$C$4,$C$5,$C$6)</f>
        <v>-20.02938353766265</v>
      </c>
      <c r="I149" s="17" cm="1">
        <f t="array" aca="1" ref="I149" ca="1">OThetaP($C$2,B149,$C$3,$C$4,$C$5,$C$6)</f>
        <v>-11.651299628254392</v>
      </c>
      <c r="J149" s="11" cm="1">
        <f t="array" aca="1" ref="J149" ca="1">OVega($C$2,B149,$C$3,$C$4,$C$5,$C$6)</f>
        <v>0.52924726754141249</v>
      </c>
      <c r="K149" s="11" cm="1">
        <f t="array" aca="1" ref="K149" ca="1">ORhoC($C$2,B149,$C$3,$C$4,$C$5,$C$6)</f>
        <v>0.35525314188337848</v>
      </c>
      <c r="L149" s="11" cm="1">
        <f t="array" aca="1" ref="L149" ca="1">ORhop($C$2,B149,$C$3,$C$4,$C$5,$C$6)</f>
        <v>-1.7392678354686861</v>
      </c>
    </row>
    <row r="150" spans="2:12" x14ac:dyDescent="0.25">
      <c r="B150" s="7">
        <v>219</v>
      </c>
      <c r="C150" s="10" cm="1">
        <f t="array" aca="1" ref="C150" ca="1">OptionPriceC($C$2,B150,$C$3,$C$4,$C$5,$C$6)</f>
        <v>19.141120246780353</v>
      </c>
      <c r="D150" s="10" cm="1">
        <f t="array" aca="1" ref="D150" ca="1">OptionPriceP($C$2,B150,$C$3,$C$4,$C$5,$C$6)</f>
        <v>92.594107421139142</v>
      </c>
      <c r="E150" s="17" cm="1">
        <f t="array" aca="1" ref="E150" ca="1">ODeltac($C$2,B150,$C$3,$C$4,$C$5,$C$6)</f>
        <v>0.39781307741748173</v>
      </c>
      <c r="F150" s="17" cm="1">
        <f t="array" aca="1" ref="F150" ca="1">ODeltaP($C$2,B150,$C$3,$C$4,$C$5,$C$6)</f>
        <v>-0.60218692258251827</v>
      </c>
      <c r="G150" s="17" cm="1">
        <f t="array" aca="1" ref="G150" ca="1">OGamma($C$2,B150,$C$3,$C$4,$C$5,$C$6)</f>
        <v>4.0056143138945356E-3</v>
      </c>
      <c r="H150" s="17" cm="1">
        <f t="array" aca="1" ref="H150" ca="1">OThetaC($C$2,B150,$C$3,$C$4,$C$5,$C$6)</f>
        <v>-19.991154840165336</v>
      </c>
      <c r="I150" s="17" cm="1">
        <f t="array" aca="1" ref="I150" ca="1">OThetaP($C$2,B150,$C$3,$C$4,$C$5,$C$6)</f>
        <v>-11.574639353190985</v>
      </c>
      <c r="J150" s="11" cm="1">
        <f t="array" aca="1" ref="J150" ca="1">OVega($C$2,B150,$C$3,$C$4,$C$5,$C$6)</f>
        <v>0.52836703914110628</v>
      </c>
      <c r="K150" s="11" cm="1">
        <f t="array" aca="1" ref="K150" ca="1">ORhoC($C$2,B150,$C$3,$C$4,$C$5,$C$6)</f>
        <v>0.35343319055010208</v>
      </c>
      <c r="L150" s="11" cm="1">
        <f t="array" aca="1" ref="L150" ca="1">ORhop($C$2,B150,$C$3,$C$4,$C$5,$C$6)</f>
        <v>-1.750695681193486</v>
      </c>
    </row>
    <row r="151" spans="2:12" x14ac:dyDescent="0.25">
      <c r="B151" s="7">
        <v>220</v>
      </c>
      <c r="C151" s="10" cm="1">
        <f t="array" aca="1" ref="C151" ca="1">OptionPriceC($C$2,B151,$C$3,$C$4,$C$5,$C$6)</f>
        <v>18.98051573005943</v>
      </c>
      <c r="D151" s="10" cm="1">
        <f t="array" aca="1" ref="D151" ca="1">OptionPriceP($C$2,B151,$C$3,$C$4,$C$5,$C$6)</f>
        <v>93.394292343570513</v>
      </c>
      <c r="E151" s="17" cm="1">
        <f t="array" aca="1" ref="E151" ca="1">ODeltac($C$2,B151,$C$3,$C$4,$C$5,$C$6)</f>
        <v>0.39531583089861816</v>
      </c>
      <c r="F151" s="17" cm="1">
        <f t="array" aca="1" ref="F151" ca="1">ODeltaP($C$2,B151,$C$3,$C$4,$C$5,$C$6)</f>
        <v>-0.60468416910138179</v>
      </c>
      <c r="G151" s="17" cm="1">
        <f t="array" aca="1" ref="G151" ca="1">OGamma($C$2,B151,$C$3,$C$4,$C$5,$C$6)</f>
        <v>3.9988143894925639E-3</v>
      </c>
      <c r="H151" s="17" cm="1">
        <f t="array" aca="1" ref="H151" ca="1">OThetaC($C$2,B151,$C$3,$C$4,$C$5,$C$6)</f>
        <v>-19.952361113722606</v>
      </c>
      <c r="I151" s="17" cm="1">
        <f t="array" aca="1" ref="I151" ca="1">OThetaP($C$2,B151,$C$3,$C$4,$C$5,$C$6)</f>
        <v>-11.497414049182163</v>
      </c>
      <c r="J151" s="11" cm="1">
        <f t="array" aca="1" ref="J151" ca="1">OVega($C$2,B151,$C$3,$C$4,$C$5,$C$6)</f>
        <v>0.5274700841072204</v>
      </c>
      <c r="K151" s="11" cm="1">
        <f t="array" aca="1" ref="K151" ca="1">ORhoC($C$2,B151,$C$3,$C$4,$C$5,$C$6)</f>
        <v>0.35161900938232221</v>
      </c>
      <c r="L151" s="11" cm="1">
        <f t="array" aca="1" ref="L151" ca="1">ORhop($C$2,B151,$C$3,$C$4,$C$5,$C$6)</f>
        <v>-1.7621177567527886</v>
      </c>
    </row>
    <row r="152" spans="2:12" x14ac:dyDescent="0.25">
      <c r="B152" s="7">
        <v>221</v>
      </c>
      <c r="C152" s="10" cm="1">
        <f t="array" aca="1" ref="C152" ca="1">OptionPriceC($C$2,B152,$C$3,$C$4,$C$5,$C$6)</f>
        <v>18.821461018980308</v>
      </c>
      <c r="D152" s="10" cm="1">
        <f t="array" aca="1" ref="D152" ca="1">OptionPriceP($C$2,B152,$C$3,$C$4,$C$5,$C$6)</f>
        <v>94.196027071643726</v>
      </c>
      <c r="E152" s="17" cm="1">
        <f t="array" aca="1" ref="E152" ca="1">ODeltac($C$2,B152,$C$3,$C$4,$C$5,$C$6)</f>
        <v>0.39283417212901417</v>
      </c>
      <c r="F152" s="17" cm="1">
        <f t="array" aca="1" ref="F152" ca="1">ODeltaP($C$2,B152,$C$3,$C$4,$C$5,$C$6)</f>
        <v>-0.60716582787098583</v>
      </c>
      <c r="G152" s="17" cm="1">
        <f t="array" aca="1" ref="G152" ca="1">OGamma($C$2,B152,$C$3,$C$4,$C$5,$C$6)</f>
        <v>3.9918903508770901E-3</v>
      </c>
      <c r="H152" s="17" cm="1">
        <f t="array" aca="1" ref="H152" ca="1">OThetaC($C$2,B152,$C$3,$C$4,$C$5,$C$6)</f>
        <v>-19.913015168316363</v>
      </c>
      <c r="I152" s="17" cm="1">
        <f t="array" aca="1" ref="I152" ca="1">OThetaP($C$2,B152,$C$3,$C$4,$C$5,$C$6)</f>
        <v>-11.419636526209825</v>
      </c>
      <c r="J152" s="11" cm="1">
        <f t="array" aca="1" ref="J152" ca="1">OVega($C$2,B152,$C$3,$C$4,$C$5,$C$6)</f>
        <v>0.52655675758712417</v>
      </c>
      <c r="K152" s="11" cm="1">
        <f t="array" aca="1" ref="K152" ca="1">ORhoC($C$2,B152,$C$3,$C$4,$C$5,$C$6)</f>
        <v>0.34981067912392261</v>
      </c>
      <c r="L152" s="11" cm="1">
        <f t="array" aca="1" ref="L152" ca="1">ORhop($C$2,B152,$C$3,$C$4,$C$5,$C$6)</f>
        <v>-1.7735339814027118</v>
      </c>
    </row>
    <row r="153" spans="2:12" x14ac:dyDescent="0.25">
      <c r="B153" s="7">
        <v>222</v>
      </c>
      <c r="C153" s="10" cm="1">
        <f t="array" aca="1" ref="C153" ca="1">OptionPriceC($C$2,B153,$C$3,$C$4,$C$5,$C$6)</f>
        <v>18.663939460585702</v>
      </c>
      <c r="D153" s="10" cm="1">
        <f t="array" aca="1" ref="D153" ca="1">OptionPriceP($C$2,B153,$C$3,$C$4,$C$5,$C$6)</f>
        <v>94.999294952401414</v>
      </c>
      <c r="E153" s="17" cm="1">
        <f t="array" aca="1" ref="E153" ca="1">ODeltac($C$2,B153,$C$3,$C$4,$C$5,$C$6)</f>
        <v>0.39036803628218225</v>
      </c>
      <c r="F153" s="17" cm="1">
        <f t="array" aca="1" ref="F153" ca="1">ODeltaP($C$2,B153,$C$3,$C$4,$C$5,$C$6)</f>
        <v>-0.6096319637178178</v>
      </c>
      <c r="G153" s="17" cm="1">
        <f t="array" aca="1" ref="G153" ca="1">OGamma($C$2,B153,$C$3,$C$4,$C$5,$C$6)</f>
        <v>3.9848448541516075E-3</v>
      </c>
      <c r="H153" s="17" cm="1">
        <f t="array" aca="1" ref="H153" ca="1">OThetaC($C$2,B153,$C$3,$C$4,$C$5,$C$6)</f>
        <v>-19.873129633518527</v>
      </c>
      <c r="I153" s="17" cm="1">
        <f t="array" aca="1" ref="I153" ca="1">OThetaP($C$2,B153,$C$3,$C$4,$C$5,$C$6)</f>
        <v>-11.341319413845897</v>
      </c>
      <c r="J153" s="11" cm="1">
        <f t="array" aca="1" ref="J153" ca="1">OVega($C$2,B153,$C$3,$C$4,$C$5,$C$6)</f>
        <v>0.52562740993844803</v>
      </c>
      <c r="K153" s="11" cm="1">
        <f t="array" aca="1" ref="K153" ca="1">ORhoC($C$2,B153,$C$3,$C$4,$C$5,$C$6)</f>
        <v>0.34800827751818353</v>
      </c>
      <c r="L153" s="11" cm="1">
        <f t="array" aca="1" ref="L153" ca="1">ORhop($C$2,B153,$C$3,$C$4,$C$5,$C$6)</f>
        <v>-1.7849442773999737</v>
      </c>
    </row>
    <row r="154" spans="2:12" x14ac:dyDescent="0.25">
      <c r="B154" s="7">
        <v>223</v>
      </c>
      <c r="C154" s="10" cm="1">
        <f t="array" aca="1" ref="C154" ca="1">OptionPriceC($C$2,B154,$C$3,$C$4,$C$5,$C$6)</f>
        <v>18.507934592173513</v>
      </c>
      <c r="D154" s="10" cm="1">
        <f t="array" aca="1" ref="D154" ca="1">OptionPriceP($C$2,B154,$C$3,$C$4,$C$5,$C$6)</f>
        <v>95.804079523141581</v>
      </c>
      <c r="E154" s="17" cm="1">
        <f t="array" aca="1" ref="E154" ca="1">ODeltac($C$2,B154,$C$3,$C$4,$C$5,$C$6)</f>
        <v>0.38791735778182646</v>
      </c>
      <c r="F154" s="17" cm="1">
        <f t="array" aca="1" ref="F154" ca="1">ODeltaP($C$2,B154,$C$3,$C$4,$C$5,$C$6)</f>
        <v>-0.61208264221817354</v>
      </c>
      <c r="G154" s="17" cm="1">
        <f t="array" aca="1" ref="G154" ca="1">OGamma($C$2,B154,$C$3,$C$4,$C$5,$C$6)</f>
        <v>3.9776805193863819E-3</v>
      </c>
      <c r="H154" s="17" cm="1">
        <f t="array" aca="1" ref="H154" ca="1">OThetaC($C$2,B154,$C$3,$C$4,$C$5,$C$6)</f>
        <v>-19.832716960066506</v>
      </c>
      <c r="I154" s="17" cm="1">
        <f t="array" aca="1" ref="I154" ca="1">OThetaP($C$2,B154,$C$3,$C$4,$C$5,$C$6)</f>
        <v>-11.262475162827785</v>
      </c>
      <c r="J154" s="11" cm="1">
        <f t="array" aca="1" ref="J154" ca="1">OVega($C$2,B154,$C$3,$C$4,$C$5,$C$6)</f>
        <v>0.52468238676580081</v>
      </c>
      <c r="K154" s="11" cm="1">
        <f t="array" aca="1" ref="K154" ca="1">ORhoC($C$2,B154,$C$3,$C$4,$C$5,$C$6)</f>
        <v>0.34621187937889664</v>
      </c>
      <c r="L154" s="11" cm="1">
        <f t="array" aca="1" ref="L154" ca="1">ORhop($C$2,B154,$C$3,$C$4,$C$5,$C$6)</f>
        <v>-1.7963485699307842</v>
      </c>
    </row>
    <row r="155" spans="2:12" x14ac:dyDescent="0.25">
      <c r="B155" s="7">
        <v>224</v>
      </c>
      <c r="C155" s="10" cm="1">
        <f t="array" aca="1" ref="C155" ca="1">OptionPriceC($C$2,B155,$C$3,$C$4,$C$5,$C$6)</f>
        <v>18.35343013918699</v>
      </c>
      <c r="D155" s="10" cm="1">
        <f t="array" aca="1" ref="D155" ca="1">OptionPriceP($C$2,B155,$C$3,$C$4,$C$5,$C$6)</f>
        <v>96.61036450930736</v>
      </c>
      <c r="E155" s="17" cm="1">
        <f t="array" aca="1" ref="E155" ca="1">ODeltac($C$2,B155,$C$3,$C$4,$C$5,$C$6)</f>
        <v>0.38548207033725596</v>
      </c>
      <c r="F155" s="17" cm="1">
        <f t="array" aca="1" ref="F155" ca="1">ODeltaP($C$2,B155,$C$3,$C$4,$C$5,$C$6)</f>
        <v>-0.6145179296627441</v>
      </c>
      <c r="G155" s="17" cm="1">
        <f t="array" aca="1" ref="G155" ca="1">OGamma($C$2,B155,$C$3,$C$4,$C$5,$C$6)</f>
        <v>3.9703999309019513E-3</v>
      </c>
      <c r="H155" s="17" cm="1">
        <f t="array" aca="1" ref="H155" ca="1">OThetaC($C$2,B155,$C$3,$C$4,$C$5,$C$6)</f>
        <v>-19.791789421456428</v>
      </c>
      <c r="I155" s="17" cm="1">
        <f t="array" aca="1" ref="I155" ca="1">OThetaP($C$2,B155,$C$3,$C$4,$C$5,$C$6)</f>
        <v>-11.183116046651612</v>
      </c>
      <c r="J155" s="11" cm="1">
        <f t="array" aca="1" ref="J155" ca="1">OVega($C$2,B155,$C$3,$C$4,$C$5,$C$6)</f>
        <v>0.52372202895816566</v>
      </c>
      <c r="K155" s="11" cm="1">
        <f t="array" aca="1" ref="K155" ca="1">ORhoC($C$2,B155,$C$3,$C$4,$C$5,$C$6)</f>
        <v>0.34442155665996554</v>
      </c>
      <c r="L155" s="11" cm="1">
        <f t="array" aca="1" ref="L155" ca="1">ORhop($C$2,B155,$C$3,$C$4,$C$5,$C$6)</f>
        <v>-1.8077467870412383</v>
      </c>
    </row>
    <row r="156" spans="2:12" x14ac:dyDescent="0.25">
      <c r="B156" s="7">
        <v>225</v>
      </c>
      <c r="C156" s="10" cm="1">
        <f t="array" aca="1" ref="C156" ca="1">OptionPriceC($C$2,B156,$C$3,$C$4,$C$5,$C$6)</f>
        <v>18.200410013121008</v>
      </c>
      <c r="D156" s="10" cm="1">
        <f t="array" aca="1" ref="D156" ca="1">OptionPriceP($C$2,B156,$C$3,$C$4,$C$5,$C$6)</f>
        <v>97.418133822393699</v>
      </c>
      <c r="E156" s="17" cm="1">
        <f t="array" aca="1" ref="E156" ca="1">ODeltac($C$2,B156,$C$3,$C$4,$C$5,$C$6)</f>
        <v>0.38306210697783677</v>
      </c>
      <c r="F156" s="17" cm="1">
        <f t="array" aca="1" ref="F156" ca="1">ODeltaP($C$2,B156,$C$3,$C$4,$C$5,$C$6)</f>
        <v>-0.61693789302216318</v>
      </c>
      <c r="G156" s="17" cm="1">
        <f t="array" aca="1" ref="G156" ca="1">OGamma($C$2,B156,$C$3,$C$4,$C$5,$C$6)</f>
        <v>3.963005637557397E-3</v>
      </c>
      <c r="H156" s="17" cm="1">
        <f t="array" aca="1" ref="H156" ca="1">OThetaC($C$2,B156,$C$3,$C$4,$C$5,$C$6)</f>
        <v>-19.75035911555258</v>
      </c>
      <c r="I156" s="17" cm="1">
        <f t="array" aca="1" ref="I156" ca="1">OThetaP($C$2,B156,$C$3,$C$4,$C$5,$C$6)</f>
        <v>-11.103254163181674</v>
      </c>
      <c r="J156" s="11" cm="1">
        <f t="array" aca="1" ref="J156" ca="1">OVega($C$2,B156,$C$3,$C$4,$C$5,$C$6)</f>
        <v>0.52274667272692521</v>
      </c>
      <c r="K156" s="11" cm="1">
        <f t="array" aca="1" ref="K156" ca="1">ORhoC($C$2,B156,$C$3,$C$4,$C$5,$C$6)</f>
        <v>0.34263737852352821</v>
      </c>
      <c r="L156" s="11" cm="1">
        <f t="array" aca="1" ref="L156" ca="1">ORhop($C$2,B156,$C$3,$C$4,$C$5,$C$6)</f>
        <v>-1.8191388595691986</v>
      </c>
    </row>
    <row r="157" spans="2:12" x14ac:dyDescent="0.25">
      <c r="B157" s="7">
        <v>226</v>
      </c>
      <c r="C157" s="10" cm="1">
        <f t="array" aca="1" ref="C157" ca="1">OptionPriceC($C$2,B157,$C$3,$C$4,$C$5,$C$6)</f>
        <v>18.048858309445095</v>
      </c>
      <c r="D157" s="10" cm="1">
        <f t="array" aca="1" ref="D157" ca="1">OptionPriceP($C$2,B157,$C$3,$C$4,$C$5,$C$6)</f>
        <v>98.2273715578701</v>
      </c>
      <c r="E157" s="17" cm="1">
        <f t="array" aca="1" ref="E157" ca="1">ODeltac($C$2,B157,$C$3,$C$4,$C$5,$C$6)</f>
        <v>0.38065740008650167</v>
      </c>
      <c r="F157" s="17" cm="1">
        <f t="array" aca="1" ref="F157" ca="1">ODeltaP($C$2,B157,$C$3,$C$4,$C$5,$C$6)</f>
        <v>-0.61934259991349827</v>
      </c>
      <c r="G157" s="17" cm="1">
        <f t="array" aca="1" ref="G157" ca="1">OGamma($C$2,B157,$C$3,$C$4,$C$5,$C$6)</f>
        <v>3.9555001530429982E-3</v>
      </c>
      <c r="H157" s="17" cm="1">
        <f t="array" aca="1" ref="H157" ca="1">OThetaC($C$2,B157,$C$3,$C$4,$C$5,$C$6)</f>
        <v>-19.708437966211367</v>
      </c>
      <c r="I157" s="17" cm="1">
        <f t="array" aca="1" ref="I157" ca="1">OThetaP($C$2,B157,$C$3,$C$4,$C$5,$C$6)</f>
        <v>-11.022901436274365</v>
      </c>
      <c r="J157" s="11" cm="1">
        <f t="array" aca="1" ref="J157" ca="1">OVega($C$2,B157,$C$3,$C$4,$C$5,$C$6)</f>
        <v>0.52175664964446411</v>
      </c>
      <c r="K157" s="11" cm="1">
        <f t="array" aca="1" ref="K157" ca="1">ORhoC($C$2,B157,$C$3,$C$4,$C$5,$C$6)</f>
        <v>0.34085941140662163</v>
      </c>
      <c r="L157" s="11" cm="1">
        <f t="array" aca="1" ref="L157" ca="1">ORhop($C$2,B157,$C$3,$C$4,$C$5,$C$6)</f>
        <v>-1.8305247210776283</v>
      </c>
    </row>
    <row r="158" spans="2:12" x14ac:dyDescent="0.25">
      <c r="B158" s="7">
        <v>227</v>
      </c>
      <c r="C158" s="10" cm="1">
        <f t="array" aca="1" ref="C158" ca="1">OptionPriceC($C$2,B158,$C$3,$C$4,$C$5,$C$6)</f>
        <v>17.898759305543052</v>
      </c>
      <c r="D158" s="10" cm="1">
        <f t="array" aca="1" ref="D158" ca="1">OptionPriceP($C$2,B158,$C$3,$C$4,$C$5,$C$6)</f>
        <v>99.038061993120408</v>
      </c>
      <c r="E158" s="17" cm="1">
        <f t="array" aca="1" ref="E158" ca="1">ODeltac($C$2,B158,$C$3,$C$4,$C$5,$C$6)</f>
        <v>0.37826788143234341</v>
      </c>
      <c r="F158" s="17" cm="1">
        <f t="array" aca="1" ref="F158" ca="1">ODeltaP($C$2,B158,$C$3,$C$4,$C$5,$C$6)</f>
        <v>-0.62173211856765653</v>
      </c>
      <c r="G158" s="17" cm="1">
        <f t="array" aca="1" ref="G158" ca="1">OGamma($C$2,B158,$C$3,$C$4,$C$5,$C$6)</f>
        <v>3.9478859561769197E-3</v>
      </c>
      <c r="H158" s="17" cm="1">
        <f t="array" aca="1" ref="H158" ca="1">OThetaC($C$2,B158,$C$3,$C$4,$C$5,$C$6)</f>
        <v>-19.666037724918262</v>
      </c>
      <c r="I158" s="17" cm="1">
        <f t="array" aca="1" ref="I158" ca="1">OThetaP($C$2,B158,$C$3,$C$4,$C$5,$C$6)</f>
        <v>-10.942069617415168</v>
      </c>
      <c r="J158" s="11" cm="1">
        <f t="array" aca="1" ref="J158" ca="1">OVega($C$2,B158,$C$3,$C$4,$C$5,$C$6)</f>
        <v>0.52075228668330431</v>
      </c>
      <c r="K158" s="11" cm="1">
        <f t="array" aca="1" ref="K158" ca="1">ORhoC($C$2,B158,$C$3,$C$4,$C$5,$C$6)</f>
        <v>0.3390877190864256</v>
      </c>
      <c r="L158" s="11" cm="1">
        <f t="array" aca="1" ref="L158" ca="1">ORhop($C$2,B158,$C$3,$C$4,$C$5,$C$6)</f>
        <v>-1.841904307789348</v>
      </c>
    </row>
    <row r="159" spans="2:12" x14ac:dyDescent="0.25">
      <c r="B159" s="7">
        <v>228</v>
      </c>
      <c r="C159" s="10" cm="1">
        <f t="array" aca="1" ref="C159" ca="1">OptionPriceC($C$2,B159,$C$3,$C$4,$C$5,$C$6)</f>
        <v>17.750097458669643</v>
      </c>
      <c r="D159" s="10" cm="1">
        <f t="array" aca="1" ref="D159" ca="1">OptionPriceP($C$2,B159,$C$3,$C$4,$C$5,$C$6)</f>
        <v>99.85018958539932</v>
      </c>
      <c r="E159" s="17" cm="1">
        <f t="array" aca="1" ref="E159" ca="1">ODeltac($C$2,B159,$C$3,$C$4,$C$5,$C$6)</f>
        <v>0.37589348220231128</v>
      </c>
      <c r="F159" s="17" cm="1">
        <f t="array" aca="1" ref="F159" ca="1">ODeltaP($C$2,B159,$C$3,$C$4,$C$5,$C$6)</f>
        <v>-0.62410651779768878</v>
      </c>
      <c r="G159" s="17" cm="1">
        <f t="array" aca="1" ref="G159" ca="1">OGamma($C$2,B159,$C$3,$C$4,$C$5,$C$6)</f>
        <v>3.9401654912055864E-3</v>
      </c>
      <c r="H159" s="17" cm="1">
        <f t="array" aca="1" ref="H159" ca="1">OThetaC($C$2,B159,$C$3,$C$4,$C$5,$C$6)</f>
        <v>-19.623169972436294</v>
      </c>
      <c r="I159" s="17" cm="1">
        <f t="array" aca="1" ref="I159" ca="1">OThetaP($C$2,B159,$C$3,$C$4,$C$5,$C$6)</f>
        <v>-10.860770287367107</v>
      </c>
      <c r="J159" s="11" cm="1">
        <f t="array" aca="1" ref="J159" ca="1">OVega($C$2,B159,$C$3,$C$4,$C$5,$C$6)</f>
        <v>0.51973390625572635</v>
      </c>
      <c r="K159" s="11" cm="1">
        <f t="array" aca="1" ref="K159" ca="1">ORhoC($C$2,B159,$C$3,$C$4,$C$5,$C$6)</f>
        <v>0.33732236274410687</v>
      </c>
      <c r="L159" s="11" cm="1">
        <f t="array" aca="1" ref="L159" ca="1">ORhop($C$2,B159,$C$3,$C$4,$C$5,$C$6)</f>
        <v>-1.85327755852319</v>
      </c>
    </row>
    <row r="160" spans="2:12" x14ac:dyDescent="0.25">
      <c r="B160" s="7">
        <v>229</v>
      </c>
      <c r="C160" s="10" cm="1">
        <f t="array" aca="1" ref="C160" ca="1">OptionPriceC($C$2,B160,$C$3,$C$4,$C$5,$C$6)</f>
        <v>17.602857403924098</v>
      </c>
      <c r="D160" s="10" cm="1">
        <f t="array" aca="1" ref="D160" ca="1">OptionPriceP($C$2,B160,$C$3,$C$4,$C$5,$C$6)</f>
        <v>100.66373896980612</v>
      </c>
      <c r="E160" s="17" cm="1">
        <f t="array" aca="1" ref="E160" ca="1">ODeltac($C$2,B160,$C$3,$C$4,$C$5,$C$6)</f>
        <v>0.37353413303203298</v>
      </c>
      <c r="F160" s="17" cm="1">
        <f t="array" aca="1" ref="F160" ca="1">ODeltaP($C$2,B160,$C$3,$C$4,$C$5,$C$6)</f>
        <v>-0.62646586696796702</v>
      </c>
      <c r="G160" s="17" cm="1">
        <f t="array" aca="1" ref="G160" ca="1">OGamma($C$2,B160,$C$3,$C$4,$C$5,$C$6)</f>
        <v>3.9323411681074305E-3</v>
      </c>
      <c r="H160" s="17" cm="1">
        <f t="array" aca="1" ref="H160" ca="1">OThetaC($C$2,B160,$C$3,$C$4,$C$5,$C$6)</f>
        <v>-19.579846120464673</v>
      </c>
      <c r="I160" s="17" cm="1">
        <f t="array" aca="1" ref="I160" ca="1">OThetaP($C$2,B160,$C$3,$C$4,$C$5,$C$6)</f>
        <v>-10.779014857829392</v>
      </c>
      <c r="J160" s="11" cm="1">
        <f t="array" aca="1" ref="J160" ca="1">OVega($C$2,B160,$C$3,$C$4,$C$5,$C$6)</f>
        <v>0.5187018262538361</v>
      </c>
      <c r="K160" s="11" cm="1">
        <f t="array" aca="1" ref="K160" ca="1">ORhoC($C$2,B160,$C$3,$C$4,$C$5,$C$6)</f>
        <v>0.33556340102729837</v>
      </c>
      <c r="L160" s="11" cm="1">
        <f t="array" aca="1" ref="L160" ca="1">ORhop($C$2,B160,$C$3,$C$4,$C$5,$C$6)</f>
        <v>-1.864644414631522</v>
      </c>
    </row>
    <row r="161" spans="2:12" x14ac:dyDescent="0.25">
      <c r="B161" s="7">
        <v>230</v>
      </c>
      <c r="C161" s="10" cm="1">
        <f t="array" aca="1" ref="C161" ca="1">OptionPriceC($C$2,B161,$C$3,$C$4,$C$5,$C$6)</f>
        <v>17.457023952241101</v>
      </c>
      <c r="D161" s="10" cm="1">
        <f t="array" aca="1" ref="D161" ca="1">OptionPriceP($C$2,B161,$C$3,$C$4,$C$5,$C$6)</f>
        <v>101.47869495727545</v>
      </c>
      <c r="E161" s="17" cm="1">
        <f t="array" aca="1" ref="E161" ca="1">ODeltac($C$2,B161,$C$3,$C$4,$C$5,$C$6)</f>
        <v>0.37118976403578297</v>
      </c>
      <c r="F161" s="17" cm="1">
        <f t="array" aca="1" ref="F161" ca="1">ODeltaP($C$2,B161,$C$3,$C$4,$C$5,$C$6)</f>
        <v>-0.62881023596421703</v>
      </c>
      <c r="G161" s="17" cm="1">
        <f t="array" aca="1" ref="G161" ca="1">OGamma($C$2,B161,$C$3,$C$4,$C$5,$C$6)</f>
        <v>3.9244153628996857E-3</v>
      </c>
      <c r="H161" s="17" cm="1">
        <f t="array" aca="1" ref="H161" ca="1">OThetaC($C$2,B161,$C$3,$C$4,$C$5,$C$6)</f>
        <v>-19.536077413306213</v>
      </c>
      <c r="I161" s="17" cm="1">
        <f t="array" aca="1" ref="I161" ca="1">OThetaP($C$2,B161,$C$3,$C$4,$C$5,$C$6)</f>
        <v>-10.69681457310484</v>
      </c>
      <c r="J161" s="11" cm="1">
        <f t="array" aca="1" ref="J161" ca="1">OVega($C$2,B161,$C$3,$C$4,$C$5,$C$6)</f>
        <v>0.51765636009003224</v>
      </c>
      <c r="K161" s="11" cm="1">
        <f t="array" aca="1" ref="K161" ca="1">ORhoC($C$2,B161,$C$3,$C$4,$C$5,$C$6)</f>
        <v>0.33381089011123327</v>
      </c>
      <c r="L161" s="11" cm="1">
        <f t="array" aca="1" ref="L161" ca="1">ORhop($C$2,B161,$C$3,$C$4,$C$5,$C$6)</f>
        <v>-1.8760048199391102</v>
      </c>
    </row>
    <row r="162" spans="2:12" x14ac:dyDescent="0.25">
      <c r="B162" s="7">
        <v>231</v>
      </c>
      <c r="C162" s="10" cm="1">
        <f t="array" aca="1" ref="C162" ca="1">OptionPriceC($C$2,B162,$C$3,$C$4,$C$5,$C$6)</f>
        <v>17.312582088398962</v>
      </c>
      <c r="D162" s="10" cm="1">
        <f t="array" aca="1" ref="D162" ca="1">OptionPriceP($C$2,B162,$C$3,$C$4,$C$5,$C$6)</f>
        <v>102.29504253258561</v>
      </c>
      <c r="E162" s="17" cm="1">
        <f t="array" aca="1" ref="E162" ca="1">ODeltac($C$2,B162,$C$3,$C$4,$C$5,$C$6)</f>
        <v>0.36886030483561738</v>
      </c>
      <c r="F162" s="17" cm="1">
        <f t="array" aca="1" ref="F162" ca="1">ODeltaP($C$2,B162,$C$3,$C$4,$C$5,$C$6)</f>
        <v>-0.63113969516438262</v>
      </c>
      <c r="G162" s="17" cm="1">
        <f t="array" aca="1" ref="G162" ca="1">OGamma($C$2,B162,$C$3,$C$4,$C$5,$C$6)</f>
        <v>3.9163904179479242E-3</v>
      </c>
      <c r="H162" s="17" cm="1">
        <f t="array" aca="1" ref="H162" ca="1">OThetaC($C$2,B162,$C$3,$C$4,$C$5,$C$6)</f>
        <v>-19.491874929542185</v>
      </c>
      <c r="I162" s="17" cm="1">
        <f t="array" aca="1" ref="I162" ca="1">OThetaP($C$2,B162,$C$3,$C$4,$C$5,$C$6)</f>
        <v>-10.614180511774716</v>
      </c>
      <c r="J162" s="11" cm="1">
        <f t="array" aca="1" ref="J162" ca="1">OVega($C$2,B162,$C$3,$C$4,$C$5,$C$6)</f>
        <v>0.51659781673783656</v>
      </c>
      <c r="K162" s="11" cm="1">
        <f t="array" aca="1" ref="K162" ca="1">ORhoC($C$2,B162,$C$3,$C$4,$C$5,$C$6)</f>
        <v>0.33206488375856713</v>
      </c>
      <c r="L162" s="11" cm="1">
        <f t="array" aca="1" ref="L162" ca="1">ORhop($C$2,B162,$C$3,$C$4,$C$5,$C$6)</f>
        <v>-1.8873587206832994</v>
      </c>
    </row>
    <row r="163" spans="2:12" x14ac:dyDescent="0.25">
      <c r="B163" s="7">
        <v>232</v>
      </c>
      <c r="C163" s="10" cm="1">
        <f t="array" aca="1" ref="C163" ca="1">OptionPriceC($C$2,B163,$C$3,$C$4,$C$5,$C$6)</f>
        <v>17.169516969045368</v>
      </c>
      <c r="D163" s="10" cm="1">
        <f t="array" aca="1" ref="D163" ca="1">OptionPriceP($C$2,B163,$C$3,$C$4,$C$5,$C$6)</f>
        <v>103.11276685238434</v>
      </c>
      <c r="E163" s="17" cm="1">
        <f t="array" aca="1" ref="E163" ca="1">ODeltac($C$2,B163,$C$3,$C$4,$C$5,$C$6)</f>
        <v>0.36654568458969644</v>
      </c>
      <c r="F163" s="17" cm="1">
        <f t="array" aca="1" ref="F163" ca="1">ODeltaP($C$2,B163,$C$3,$C$4,$C$5,$C$6)</f>
        <v>-0.63345431541030361</v>
      </c>
      <c r="G163" s="17" cm="1">
        <f t="array" aca="1" ref="G163" ca="1">OGamma($C$2,B163,$C$3,$C$4,$C$5,$C$6)</f>
        <v>3.9082686422780705E-3</v>
      </c>
      <c r="H163" s="17" cm="1">
        <f t="array" aca="1" ref="H163" ca="1">OThetaC($C$2,B163,$C$3,$C$4,$C$5,$C$6)</f>
        <v>-19.447249583713546</v>
      </c>
      <c r="I163" s="17" cm="1">
        <f t="array" aca="1" ref="I163" ca="1">OThetaP($C$2,B163,$C$3,$C$4,$C$5,$C$6)</f>
        <v>-10.531123588379987</v>
      </c>
      <c r="J163" s="11" cm="1">
        <f t="array" aca="1" ref="J163" ca="1">OVega($C$2,B163,$C$3,$C$4,$C$5,$C$6)</f>
        <v>0.51552650077305107</v>
      </c>
      <c r="K163" s="11" cm="1">
        <f t="array" aca="1" ref="K163" ca="1">ORhoC($C$2,B163,$C$3,$C$4,$C$5,$C$6)</f>
        <v>0.33032543337790998</v>
      </c>
      <c r="L163" s="11" cm="1">
        <f t="array" aca="1" ref="L163" ca="1">ORhop($C$2,B163,$C$3,$C$4,$C$5,$C$6)</f>
        <v>-1.8987060654554799</v>
      </c>
    </row>
    <row r="164" spans="2:12" x14ac:dyDescent="0.25">
      <c r="B164" s="7">
        <v>233</v>
      </c>
      <c r="C164" s="10" cm="1">
        <f t="array" aca="1" ref="C164" ca="1">OptionPriceC($C$2,B164,$C$3,$C$4,$C$5,$C$6)</f>
        <v>17.027813920740499</v>
      </c>
      <c r="D164" s="10" cm="1">
        <f t="array" aca="1" ref="D164" ca="1">OptionPriceP($C$2,B164,$C$3,$C$4,$C$5,$C$6)</f>
        <v>103.93185324323177</v>
      </c>
      <c r="E164" s="17" cm="1">
        <f t="array" aca="1" ref="E164" ca="1">ODeltac($C$2,B164,$C$3,$C$4,$C$5,$C$6)</f>
        <v>0.36424583201981237</v>
      </c>
      <c r="F164" s="17" cm="1">
        <f t="array" aca="1" ref="F164" ca="1">ODeltaP($C$2,B164,$C$3,$C$4,$C$5,$C$6)</f>
        <v>-0.63575416798018769</v>
      </c>
      <c r="G164" s="17" cm="1">
        <f t="array" aca="1" ref="G164" ca="1">OGamma($C$2,B164,$C$3,$C$4,$C$5,$C$6)</f>
        <v>3.900052311890606E-3</v>
      </c>
      <c r="H164" s="17" cm="1">
        <f t="array" aca="1" ref="H164" ca="1">OThetaC($C$2,B164,$C$3,$C$4,$C$5,$C$6)</f>
        <v>-19.402212128007221</v>
      </c>
      <c r="I164" s="17" cm="1">
        <f t="array" aca="1" ref="I164" ca="1">OThetaP($C$2,B164,$C$3,$C$4,$C$5,$C$6)</f>
        <v>-10.447654555107569</v>
      </c>
      <c r="J164" s="11" cm="1">
        <f t="array" aca="1" ref="J164" ca="1">OVega($C$2,B164,$C$3,$C$4,$C$5,$C$6)</f>
        <v>0.51444271241520267</v>
      </c>
      <c r="K164" s="11" cm="1">
        <f t="array" aca="1" ref="K164" ca="1">ORhoC($C$2,B164,$C$3,$C$4,$C$5,$C$6)</f>
        <v>0.32859258808109798</v>
      </c>
      <c r="L164" s="11" cm="1">
        <f t="array" aca="1" ref="L164" ca="1">ORhop($C$2,B164,$C$3,$C$4,$C$5,$C$6)</f>
        <v>-1.9100468051438149</v>
      </c>
    </row>
    <row r="165" spans="2:12" x14ac:dyDescent="0.25">
      <c r="B165" s="7">
        <v>234</v>
      </c>
      <c r="C165" s="10" cm="1">
        <f t="array" aca="1" ref="C165" ca="1">OptionPriceC($C$2,B165,$C$3,$C$4,$C$5,$C$6)</f>
        <v>16.887458438018001</v>
      </c>
      <c r="D165" s="10" cm="1">
        <f t="array" aca="1" ref="D165" ca="1">OptionPriceP($C$2,B165,$C$3,$C$4,$C$5,$C$6)</f>
        <v>104.75228719966162</v>
      </c>
      <c r="E165" s="17" cm="1">
        <f t="array" aca="1" ref="E165" ca="1">ODeltac($C$2,B165,$C$3,$C$4,$C$5,$C$6)</f>
        <v>0.36196067543814348</v>
      </c>
      <c r="F165" s="17" cm="1">
        <f t="array" aca="1" ref="F165" ca="1">ODeltaP($C$2,B165,$C$3,$C$4,$C$5,$C$6)</f>
        <v>-0.63803932456185652</v>
      </c>
      <c r="G165" s="17" cm="1">
        <f t="array" aca="1" ref="G165" ca="1">OGamma($C$2,B165,$C$3,$C$4,$C$5,$C$6)</f>
        <v>3.8917436700766856E-3</v>
      </c>
      <c r="H165" s="17" cm="1">
        <f t="array" aca="1" ref="H165" ca="1">OThetaC($C$2,B165,$C$3,$C$4,$C$5,$C$6)</f>
        <v>-19.356773153946371</v>
      </c>
      <c r="I165" s="17" cm="1">
        <f t="array" aca="1" ref="I165" ca="1">OThetaP($C$2,B165,$C$3,$C$4,$C$5,$C$6)</f>
        <v>-10.363784003480625</v>
      </c>
      <c r="J165" s="11" cm="1">
        <f t="array" aca="1" ref="J165" ca="1">OVega($C$2,B165,$C$3,$C$4,$C$5,$C$6)</f>
        <v>0.51334674756924203</v>
      </c>
      <c r="K165" s="11" cm="1">
        <f t="array" aca="1" ref="K165" ca="1">ORhoC($C$2,B165,$C$3,$C$4,$C$5,$C$6)</f>
        <v>0.32686639473922591</v>
      </c>
      <c r="L165" s="11" cm="1">
        <f t="array" aca="1" ref="L165" ca="1">ORhop($C$2,B165,$C$3,$C$4,$C$5,$C$6)</f>
        <v>-1.9213808928772105</v>
      </c>
    </row>
    <row r="166" spans="2:12" x14ac:dyDescent="0.25">
      <c r="B166" s="7">
        <v>235</v>
      </c>
      <c r="C166" s="10" cm="1">
        <f t="array" aca="1" ref="C166" ca="1">OptionPriceC($C$2,B166,$C$3,$C$4,$C$5,$C$6)</f>
        <v>16.748436181463482</v>
      </c>
      <c r="D166" s="10" cm="1">
        <f t="array" aca="1" ref="D166" ca="1">OptionPriceP($C$2,B166,$C$3,$C$4,$C$5,$C$6)</f>
        <v>105.57405438225942</v>
      </c>
      <c r="E166" s="17" cm="1">
        <f t="array" aca="1" ref="E166" ca="1">ODeltac($C$2,B166,$C$3,$C$4,$C$5,$C$6)</f>
        <v>0.35969014277325273</v>
      </c>
      <c r="F166" s="17" cm="1">
        <f t="array" aca="1" ref="F166" ca="1">ODeltaP($C$2,B166,$C$3,$C$4,$C$5,$C$6)</f>
        <v>-0.64030985722674727</v>
      </c>
      <c r="G166" s="17" cm="1">
        <f t="array" aca="1" ref="G166" ca="1">OGamma($C$2,B166,$C$3,$C$4,$C$5,$C$6)</f>
        <v>3.8833449277359531E-3</v>
      </c>
      <c r="H166" s="17" cm="1">
        <f t="array" aca="1" ref="H166" ca="1">OThetaC($C$2,B166,$C$3,$C$4,$C$5,$C$6)</f>
        <v>-19.310943094083623</v>
      </c>
      <c r="I166" s="17" cm="1">
        <f t="array" aca="1" ref="I166" ca="1">OThetaP($C$2,B166,$C$3,$C$4,$C$5,$C$6)</f>
        <v>-10.279522366051783</v>
      </c>
      <c r="J166" s="11" cm="1">
        <f t="array" aca="1" ref="J166" ca="1">OVega($C$2,B166,$C$3,$C$4,$C$5,$C$6)</f>
        <v>0.51223889786746502</v>
      </c>
      <c r="K166" s="11" cm="1">
        <f t="array" aca="1" ref="K166" ca="1">ORhoC($C$2,B166,$C$3,$C$4,$C$5,$C$6)</f>
        <v>0.32514689803746932</v>
      </c>
      <c r="L166" s="11" cm="1">
        <f t="array" aca="1" ref="L166" ca="1">ORhop($C$2,B166,$C$3,$C$4,$C$5,$C$6)</f>
        <v>-1.9327082839704901</v>
      </c>
    </row>
    <row r="167" spans="2:12" x14ac:dyDescent="0.25">
      <c r="B167" s="7">
        <v>236</v>
      </c>
      <c r="C167" s="10" cm="1">
        <f t="array" aca="1" ref="C167" ca="1">OptionPriceC($C$2,B167,$C$3,$C$4,$C$5,$C$6)</f>
        <v>16.610732975811018</v>
      </c>
      <c r="D167" s="10" cm="1">
        <f t="array" aca="1" ref="D167" ca="1">OptionPriceP($C$2,B167,$C$3,$C$4,$C$5,$C$6)</f>
        <v>106.39714061575927</v>
      </c>
      <c r="E167" s="17" cm="1">
        <f t="array" aca="1" ref="E167" ca="1">ODeltac($C$2,B167,$C$3,$C$4,$C$5,$C$6)</f>
        <v>0.35743416159534913</v>
      </c>
      <c r="F167" s="17" cm="1">
        <f t="array" aca="1" ref="F167" ca="1">ODeltaP($C$2,B167,$C$3,$C$4,$C$5,$C$6)</f>
        <v>-0.64256583840465087</v>
      </c>
      <c r="G167" s="17" cm="1">
        <f t="array" aca="1" ref="G167" ca="1">OGamma($C$2,B167,$C$3,$C$4,$C$5,$C$6)</f>
        <v>3.8748582636957771E-3</v>
      </c>
      <c r="H167" s="17" cm="1">
        <f t="array" aca="1" ref="H167" ca="1">OThetaC($C$2,B167,$C$3,$C$4,$C$5,$C$6)</f>
        <v>-19.264732223696203</v>
      </c>
      <c r="I167" s="17" cm="1">
        <f t="array" aca="1" ref="I167" ca="1">OThetaP($C$2,B167,$C$3,$C$4,$C$5,$C$6)</f>
        <v>-10.194879918098273</v>
      </c>
      <c r="J167" s="11" cm="1">
        <f t="array" aca="1" ref="J167" ca="1">OVega($C$2,B167,$C$3,$C$4,$C$5,$C$6)</f>
        <v>0.51111945071162201</v>
      </c>
      <c r="K167" s="11" cm="1">
        <f t="array" aca="1" ref="K167" ca="1">ORhoC($C$2,B167,$C$3,$C$4,$C$5,$C$6)</f>
        <v>0.32343414052871844</v>
      </c>
      <c r="L167" s="11" cm="1">
        <f t="array" aca="1" ref="L167" ca="1">ORhop($C$2,B167,$C$3,$C$4,$C$5,$C$6)</f>
        <v>-1.9440289358707643</v>
      </c>
    </row>
    <row r="168" spans="2:12" x14ac:dyDescent="0.25">
      <c r="B168" s="7">
        <v>237</v>
      </c>
      <c r="C168" s="10" cm="1">
        <f t="array" aca="1" ref="C168" ca="1">OptionPriceC($C$2,B168,$C$3,$C$4,$C$5,$C$6)</f>
        <v>16.47433480805708</v>
      </c>
      <c r="D168" s="10" cm="1">
        <f t="array" aca="1" ref="D168" ca="1">OptionPriceP($C$2,B168,$C$3,$C$4,$C$5,$C$6)</f>
        <v>107.22153188715768</v>
      </c>
      <c r="E168" s="17" cm="1">
        <f t="array" aca="1" ref="E168" ca="1">ODeltac($C$2,B168,$C$3,$C$4,$C$5,$C$6)</f>
        <v>0.35519265914082937</v>
      </c>
      <c r="F168" s="17" cm="1">
        <f t="array" aca="1" ref="F168" ca="1">ODeltaP($C$2,B168,$C$3,$C$4,$C$5,$C$6)</f>
        <v>-0.64480734085917057</v>
      </c>
      <c r="G168" s="17" cm="1">
        <f t="array" aca="1" ref="G168" ca="1">OGamma($C$2,B168,$C$3,$C$4,$C$5,$C$6)</f>
        <v>3.8662858250317084E-3</v>
      </c>
      <c r="H168" s="17" cm="1">
        <f t="array" aca="1" ref="H168" ca="1">OThetaC($C$2,B168,$C$3,$C$4,$C$5,$C$6)</f>
        <v>-19.218150662482042</v>
      </c>
      <c r="I168" s="17" cm="1">
        <f t="array" aca="1" ref="I168" ca="1">OThetaP($C$2,B168,$C$3,$C$4,$C$5,$C$6)</f>
        <v>-10.109866779318018</v>
      </c>
      <c r="J168" s="11" cm="1">
        <f t="array" aca="1" ref="J168" ca="1">OVega($C$2,B168,$C$3,$C$4,$C$5,$C$6)</f>
        <v>0.50998868931518859</v>
      </c>
      <c r="K168" s="11" cm="1">
        <f t="array" aca="1" ref="K168" ca="1">ORhoC($C$2,B168,$C$3,$C$4,$C$5,$C$6)</f>
        <v>0.32172816268604998</v>
      </c>
      <c r="L168" s="11" cm="1">
        <f t="array" aca="1" ref="L168" ca="1">ORhop($C$2,B168,$C$3,$C$4,$C$5,$C$6)</f>
        <v>-1.955342808104956</v>
      </c>
    </row>
    <row r="169" spans="2:12" x14ac:dyDescent="0.25">
      <c r="B169" s="7">
        <v>238</v>
      </c>
      <c r="C169" s="10" cm="1">
        <f t="array" aca="1" ref="C169" ca="1">OptionPriceC($C$2,B169,$C$3,$C$4,$C$5,$C$6)</f>
        <v>16.339227825592793</v>
      </c>
      <c r="D169" s="10" cm="1">
        <f t="array" aca="1" ref="D169" ca="1">OptionPriceP($C$2,B169,$C$3,$C$4,$C$5,$C$6)</f>
        <v>108.0472143438457</v>
      </c>
      <c r="E169" s="17" cm="1">
        <f t="array" aca="1" ref="E169" ca="1">ODeltac($C$2,B169,$C$3,$C$4,$C$5,$C$6)</f>
        <v>0.35296556233611809</v>
      </c>
      <c r="F169" s="17" cm="1">
        <f t="array" aca="1" ref="F169" ca="1">ODeltaP($C$2,B169,$C$3,$C$4,$C$5,$C$6)</f>
        <v>-0.64703443766388191</v>
      </c>
      <c r="G169" s="17" cm="1">
        <f t="array" aca="1" ref="G169" ca="1">OGamma($C$2,B169,$C$3,$C$4,$C$5,$C$6)</f>
        <v>3.857629727388916E-3</v>
      </c>
      <c r="H169" s="17" cm="1">
        <f t="array" aca="1" ref="H169" ca="1">OThetaC($C$2,B169,$C$3,$C$4,$C$5,$C$6)</f>
        <v>-19.171208376255873</v>
      </c>
      <c r="I169" s="17" cm="1">
        <f t="array" aca="1" ref="I169" ca="1">OThetaP($C$2,B169,$C$3,$C$4,$C$5,$C$6)</f>
        <v>-10.024492915525755</v>
      </c>
      <c r="J169" s="11" cm="1">
        <f t="array" aca="1" ref="J169" ca="1">OVega($C$2,B169,$C$3,$C$4,$C$5,$C$6)</f>
        <v>0.50884689274576522</v>
      </c>
      <c r="K169" s="11" cm="1">
        <f t="array" aca="1" ref="K169" ca="1">ORhoC($C$2,B169,$C$3,$C$4,$C$5,$C$6)</f>
        <v>0.32002900295405712</v>
      </c>
      <c r="L169" s="11" cm="1">
        <f t="array" aca="1" ref="L169" ca="1">ORhop($C$2,B169,$C$3,$C$4,$C$5,$C$6)</f>
        <v>-1.966649862228472</v>
      </c>
    </row>
    <row r="170" spans="2:12" x14ac:dyDescent="0.25">
      <c r="B170" s="7">
        <v>239</v>
      </c>
      <c r="C170" s="10" cm="1">
        <f t="array" aca="1" ref="C170" ca="1">OptionPriceC($C$2,B170,$C$3,$C$4,$C$5,$C$6)</f>
        <v>16.205398334353653</v>
      </c>
      <c r="D170" s="10" cm="1">
        <f t="array" aca="1" ref="D170" ca="1">OptionPriceP($C$2,B170,$C$3,$C$4,$C$5,$C$6)</f>
        <v>108.87417429175891</v>
      </c>
      <c r="E170" s="17" cm="1">
        <f t="array" aca="1" ref="E170" ca="1">ODeltac($C$2,B170,$C$3,$C$4,$C$5,$C$6)</f>
        <v>0.35075279782082314</v>
      </c>
      <c r="F170" s="17" cm="1">
        <f t="array" aca="1" ref="F170" ca="1">ODeltaP($C$2,B170,$C$3,$C$4,$C$5,$C$6)</f>
        <v>-0.64924720217917686</v>
      </c>
      <c r="G170" s="17" cm="1">
        <f t="array" aca="1" ref="G170" ca="1">OGamma($C$2,B170,$C$3,$C$4,$C$5,$C$6)</f>
        <v>3.8488920553044191E-3</v>
      </c>
      <c r="H170" s="17" cm="1">
        <f t="array" aca="1" ref="H170" ca="1">OThetaC($C$2,B170,$C$3,$C$4,$C$5,$C$6)</f>
        <v>-19.123915178644538</v>
      </c>
      <c r="I170" s="17" cm="1">
        <f t="array" aca="1" ref="I170" ca="1">OThetaP($C$2,B170,$C$3,$C$4,$C$5,$C$6)</f>
        <v>-9.9387681403483263</v>
      </c>
      <c r="J170" s="11" cm="1">
        <f t="array" aca="1" ref="J170" ca="1">OVega($C$2,B170,$C$3,$C$4,$C$5,$C$6)</f>
        <v>0.50769433596758073</v>
      </c>
      <c r="K170" s="11" cm="1">
        <f t="array" aca="1" ref="K170" ca="1">ORhoC($C$2,B170,$C$3,$C$4,$C$5,$C$6)</f>
        <v>0.31833669779906504</v>
      </c>
      <c r="L170" s="11" cm="1">
        <f t="array" aca="1" ref="L170" ca="1">ORhop($C$2,B170,$C$3,$C$4,$C$5,$C$6)</f>
        <v>-1.9779500617749874</v>
      </c>
    </row>
    <row r="171" spans="2:12" x14ac:dyDescent="0.25">
      <c r="B171" s="7">
        <v>240</v>
      </c>
      <c r="C171" s="10" cm="1">
        <f t="array" aca="1" ref="C171" ca="1">OptionPriceC($C$2,B171,$C$3,$C$4,$C$5,$C$6)</f>
        <v>16.072832796987448</v>
      </c>
      <c r="D171" s="10" cm="1">
        <f t="array" aca="1" ref="D171" ca="1">OptionPriceP($C$2,B171,$C$3,$C$4,$C$5,$C$6)</f>
        <v>109.70239819354501</v>
      </c>
      <c r="E171" s="17" cm="1">
        <f t="array" aca="1" ref="E171" ca="1">ODeltac($C$2,B171,$C$3,$C$4,$C$5,$C$6)</f>
        <v>0.34855429197022358</v>
      </c>
      <c r="F171" s="17" cm="1">
        <f t="array" aca="1" ref="F171" ca="1">ODeltaP($C$2,B171,$C$3,$C$4,$C$5,$C$6)</f>
        <v>-0.65144570802977642</v>
      </c>
      <c r="G171" s="17" cm="1">
        <f t="array" aca="1" ref="G171" ca="1">OGamma($C$2,B171,$C$3,$C$4,$C$5,$C$6)</f>
        <v>3.8400748625298867E-3</v>
      </c>
      <c r="H171" s="17" cm="1">
        <f t="array" aca="1" ref="H171" ca="1">OThetaC($C$2,B171,$C$3,$C$4,$C$5,$C$6)</f>
        <v>-19.076280732780589</v>
      </c>
      <c r="I171" s="17" cm="1">
        <f t="array" aca="1" ref="I171" ca="1">OThetaP($C$2,B171,$C$3,$C$4,$C$5,$C$6)</f>
        <v>-9.8527021169182873</v>
      </c>
      <c r="J171" s="11" cm="1">
        <f t="array" aca="1" ref="J171" ca="1">OVega($C$2,B171,$C$3,$C$4,$C$5,$C$6)</f>
        <v>0.50653128988407337</v>
      </c>
      <c r="K171" s="11" cm="1">
        <f t="array" aca="1" ref="K171" ca="1">ORhoC($C$2,B171,$C$3,$C$4,$C$5,$C$6)</f>
        <v>0.3166512817582518</v>
      </c>
      <c r="L171" s="11" cm="1">
        <f t="array" aca="1" ref="L171" ca="1">ORhop($C$2,B171,$C$3,$C$4,$C$5,$C$6)</f>
        <v>-1.9892433722073239</v>
      </c>
    </row>
    <row r="172" spans="2:12" x14ac:dyDescent="0.25">
      <c r="B172" s="7">
        <v>241</v>
      </c>
      <c r="C172" s="10" cm="1">
        <f t="array" aca="1" ref="C172" ca="1">OptionPriceC($C$2,B172,$C$3,$C$4,$C$5,$C$6)</f>
        <v>15.941517831039729</v>
      </c>
      <c r="D172" s="10" cm="1">
        <f t="array" aca="1" ref="D172" ca="1">OptionPriceP($C$2,B172,$C$3,$C$4,$C$5,$C$6)</f>
        <v>110.53187266674965</v>
      </c>
      <c r="E172" s="17" cm="1">
        <f t="array" aca="1" ref="E172" ca="1">ODeltac($C$2,B172,$C$3,$C$4,$C$5,$C$6)</f>
        <v>0.34636997091710553</v>
      </c>
      <c r="F172" s="17" cm="1">
        <f t="array" aca="1" ref="F172" ca="1">ODeltaP($C$2,B172,$C$3,$C$4,$C$5,$C$6)</f>
        <v>-0.65363002908289447</v>
      </c>
      <c r="G172" s="17" cm="1">
        <f t="array" aca="1" ref="G172" ca="1">OGamma($C$2,B172,$C$3,$C$4,$C$5,$C$6)</f>
        <v>3.8311801723548431E-3</v>
      </c>
      <c r="H172" s="17" cm="1">
        <f t="array" aca="1" ref="H172" ca="1">OThetaC($C$2,B172,$C$3,$C$4,$C$5,$C$6)</f>
        <v>-19.028314552993464</v>
      </c>
      <c r="I172" s="17" cm="1">
        <f t="array" aca="1" ref="I172" ca="1">OThetaP($C$2,B172,$C$3,$C$4,$C$5,$C$6)</f>
        <v>-9.7663043595650674</v>
      </c>
      <c r="J172" s="11" cm="1">
        <f t="array" aca="1" ref="J172" ca="1">OVega($C$2,B172,$C$3,$C$4,$C$5,$C$6)</f>
        <v>0.50535802138052255</v>
      </c>
      <c r="K172" s="11" cm="1">
        <f t="array" aca="1" ref="K172" ca="1">ORhoC($C$2,B172,$C$3,$C$4,$C$5,$C$6)</f>
        <v>0.31497278748769952</v>
      </c>
      <c r="L172" s="11" cm="1">
        <f t="array" aca="1" ref="L172" ca="1">ORhop($C$2,B172,$C$3,$C$4,$C$5,$C$6)</f>
        <v>-2.0005297608693997</v>
      </c>
    </row>
    <row r="173" spans="2:12" x14ac:dyDescent="0.25">
      <c r="B173" s="7">
        <v>242</v>
      </c>
      <c r="C173" s="10" cm="1">
        <f t="array" aca="1" ref="C173" ca="1">OptionPriceC($C$2,B173,$C$3,$C$4,$C$5,$C$6)</f>
        <v>15.811440207157588</v>
      </c>
      <c r="D173" s="10" cm="1">
        <f t="array" aca="1" ref="D173" ca="1">OptionPriceP($C$2,B173,$C$3,$C$4,$C$5,$C$6)</f>
        <v>111.3625844820198</v>
      </c>
      <c r="E173" s="17" cm="1">
        <f t="array" aca="1" ref="E173" ca="1">ODeltac($C$2,B173,$C$3,$C$4,$C$5,$C$6)</f>
        <v>0.34419976057296342</v>
      </c>
      <c r="F173" s="17" cm="1">
        <f t="array" aca="1" ref="F173" ca="1">ODeltaP($C$2,B173,$C$3,$C$4,$C$5,$C$6)</f>
        <v>-0.65580023942703658</v>
      </c>
      <c r="G173" s="17" cm="1">
        <f t="array" aca="1" ref="G173" ca="1">OGamma($C$2,B173,$C$3,$C$4,$C$5,$C$6)</f>
        <v>3.8222099779300785E-3</v>
      </c>
      <c r="H173" s="17" cm="1">
        <f t="array" aca="1" ref="H173" ca="1">OThetaC($C$2,B173,$C$3,$C$4,$C$5,$C$6)</f>
        <v>-18.98002600649739</v>
      </c>
      <c r="I173" s="17" cm="1">
        <f t="array" aca="1" ref="I173" ca="1">OThetaP($C$2,B173,$C$3,$C$4,$C$5,$C$6)</f>
        <v>-9.6795842355029009</v>
      </c>
      <c r="J173" s="11" cm="1">
        <f t="array" aca="1" ref="J173" ca="1">OVega($C$2,B173,$C$3,$C$4,$C$5,$C$6)</f>
        <v>0.5041747933667089</v>
      </c>
      <c r="K173" s="11" cm="1">
        <f t="array" aca="1" ref="K173" ca="1">ORhoC($C$2,B173,$C$3,$C$4,$C$5,$C$6)</f>
        <v>0.31330124580939428</v>
      </c>
      <c r="L173" s="11" cm="1">
        <f t="array" aca="1" ref="L173" ca="1">ORhop($C$2,B173,$C$3,$C$4,$C$5,$C$6)</f>
        <v>-2.011809196939228</v>
      </c>
    </row>
    <row r="174" spans="2:12" x14ac:dyDescent="0.25">
      <c r="B174" s="7">
        <v>243</v>
      </c>
      <c r="C174" s="10" cm="1">
        <f t="array" aca="1" ref="C174" ca="1">OptionPriceC($C$2,B174,$C$3,$C$4,$C$5,$C$6)</f>
        <v>15.682586847310901</v>
      </c>
      <c r="D174" s="10" cm="1">
        <f t="array" aca="1" ref="D174" ca="1">OptionPriceP($C$2,B174,$C$3,$C$4,$C$5,$C$6)</f>
        <v>112.19452056132543</v>
      </c>
      <c r="E174" s="17" cm="1">
        <f t="array" aca="1" ref="E174" ca="1">ODeltac($C$2,B174,$C$3,$C$4,$C$5,$C$6)</f>
        <v>0.34204358664857981</v>
      </c>
      <c r="F174" s="17" cm="1">
        <f t="array" aca="1" ref="F174" ca="1">ODeltaP($C$2,B174,$C$3,$C$4,$C$5,$C$6)</f>
        <v>-0.65795641335142019</v>
      </c>
      <c r="G174" s="17" cm="1">
        <f t="array" aca="1" ref="G174" ca="1">OGamma($C$2,B174,$C$3,$C$4,$C$5,$C$6)</f>
        <v>3.8131662425910998E-3</v>
      </c>
      <c r="H174" s="17" cm="1">
        <f t="array" aca="1" ref="H174" ca="1">OThetaC($C$2,B174,$C$3,$C$4,$C$5,$C$6)</f>
        <v>-18.931424315075439</v>
      </c>
      <c r="I174" s="17" cm="1">
        <f t="array" aca="1" ref="I174" ca="1">OThetaP($C$2,B174,$C$3,$C$4,$C$5,$C$6)</f>
        <v>-9.5925509665148567</v>
      </c>
      <c r="J174" s="11" cm="1">
        <f t="array" aca="1" ref="J174" ca="1">OVega($C$2,B174,$C$3,$C$4,$C$5,$C$6)</f>
        <v>0.50298186481958018</v>
      </c>
      <c r="K174" s="11" cm="1">
        <f t="array" aca="1" ref="K174" ca="1">ORhoC($C$2,B174,$C$3,$C$4,$C$5,$C$6)</f>
        <v>0.31163668575719927</v>
      </c>
      <c r="L174" s="11" cm="1">
        <f t="array" aca="1" ref="L174" ca="1">ORhop($C$2,B174,$C$3,$C$4,$C$5,$C$6)</f>
        <v>-2.0230816513829462</v>
      </c>
    </row>
    <row r="175" spans="2:12" x14ac:dyDescent="0.25">
      <c r="B175" s="7"/>
      <c r="C175" s="10"/>
      <c r="D175" s="10"/>
      <c r="E175" s="17"/>
      <c r="F175" s="17"/>
      <c r="G175" s="17"/>
      <c r="H175" s="17"/>
      <c r="I175" s="17"/>
      <c r="J175" s="11"/>
      <c r="K175" s="11"/>
      <c r="L175" s="11"/>
    </row>
    <row r="176" spans="2:12" x14ac:dyDescent="0.25">
      <c r="B176" s="7"/>
      <c r="C176" s="10"/>
      <c r="D176" s="10"/>
      <c r="E176" s="17"/>
      <c r="F176" s="17"/>
      <c r="G176" s="17"/>
      <c r="H176" s="17"/>
      <c r="I176" s="17"/>
      <c r="J176" s="11"/>
      <c r="K176" s="11"/>
      <c r="L176" s="11"/>
    </row>
    <row r="177" spans="2:12" x14ac:dyDescent="0.25">
      <c r="B177" s="7"/>
      <c r="C177" s="10"/>
      <c r="D177" s="10"/>
      <c r="E177" s="17"/>
      <c r="F177" s="17"/>
      <c r="G177" s="17"/>
      <c r="H177" s="17"/>
      <c r="I177" s="17"/>
      <c r="J177" s="11"/>
      <c r="K177" s="11"/>
      <c r="L177" s="11"/>
    </row>
    <row r="178" spans="2:12" x14ac:dyDescent="0.25">
      <c r="B178" s="7"/>
      <c r="C178" s="10"/>
      <c r="D178" s="10"/>
      <c r="E178" s="17"/>
      <c r="F178" s="17"/>
      <c r="G178" s="17"/>
      <c r="H178" s="17"/>
      <c r="I178" s="17"/>
      <c r="J178" s="11"/>
      <c r="K178" s="11"/>
      <c r="L178" s="11"/>
    </row>
    <row r="179" spans="2:12" x14ac:dyDescent="0.25">
      <c r="B179" s="7"/>
      <c r="C179" s="10"/>
      <c r="D179" s="10"/>
      <c r="E179" s="17"/>
      <c r="F179" s="17"/>
      <c r="G179" s="17"/>
      <c r="H179" s="17"/>
      <c r="I179" s="17"/>
      <c r="J179" s="11"/>
      <c r="K179" s="11"/>
      <c r="L179" s="11"/>
    </row>
    <row r="180" spans="2:12" x14ac:dyDescent="0.25">
      <c r="B180" s="7"/>
      <c r="C180" s="10"/>
      <c r="D180" s="10"/>
      <c r="E180" s="17"/>
      <c r="F180" s="17"/>
      <c r="G180" s="17"/>
      <c r="H180" s="17"/>
      <c r="I180" s="17"/>
      <c r="J180" s="11"/>
      <c r="K180" s="11"/>
      <c r="L180" s="11"/>
    </row>
    <row r="181" spans="2:12" x14ac:dyDescent="0.25">
      <c r="B181" s="7"/>
      <c r="C181" s="10"/>
      <c r="D181" s="10"/>
      <c r="E181" s="17"/>
      <c r="F181" s="17"/>
      <c r="G181" s="17"/>
      <c r="H181" s="17"/>
      <c r="I181" s="17"/>
      <c r="J181" s="11"/>
      <c r="K181" s="11"/>
      <c r="L181" s="11"/>
    </row>
    <row r="182" spans="2:12" x14ac:dyDescent="0.25">
      <c r="B182" s="7"/>
      <c r="C182" s="10"/>
      <c r="D182" s="10"/>
      <c r="E182" s="17"/>
      <c r="F182" s="17"/>
      <c r="G182" s="17"/>
      <c r="H182" s="17"/>
      <c r="I182" s="17"/>
      <c r="J182" s="11"/>
      <c r="K182" s="11"/>
      <c r="L182" s="11"/>
    </row>
    <row r="183" spans="2:12" x14ac:dyDescent="0.25">
      <c r="B183" s="7"/>
      <c r="C183" s="10"/>
      <c r="D183" s="10"/>
      <c r="E183" s="17"/>
      <c r="F183" s="17"/>
      <c r="G183" s="17"/>
      <c r="H183" s="17"/>
      <c r="I183" s="17"/>
      <c r="J183" s="11"/>
      <c r="K183" s="11"/>
      <c r="L183" s="11"/>
    </row>
    <row r="184" spans="2:12" x14ac:dyDescent="0.25">
      <c r="B184" s="7"/>
      <c r="C184" s="10"/>
      <c r="D184" s="10"/>
      <c r="E184" s="17"/>
      <c r="F184" s="17"/>
      <c r="G184" s="17"/>
      <c r="H184" s="17"/>
      <c r="I184" s="17"/>
      <c r="J184" s="11"/>
      <c r="K184" s="11"/>
      <c r="L184" s="11"/>
    </row>
    <row r="185" spans="2:12" x14ac:dyDescent="0.25">
      <c r="B185" s="7"/>
      <c r="C185" s="10"/>
      <c r="D185" s="10"/>
      <c r="E185" s="17"/>
      <c r="F185" s="17"/>
      <c r="G185" s="17"/>
      <c r="H185" s="17"/>
      <c r="I185" s="17"/>
      <c r="J185" s="11"/>
      <c r="K185" s="11"/>
      <c r="L185" s="11"/>
    </row>
    <row r="186" spans="2:12" x14ac:dyDescent="0.25">
      <c r="B186" s="7"/>
      <c r="C186" s="10"/>
      <c r="D186" s="10"/>
      <c r="E186" s="17"/>
      <c r="F186" s="17"/>
      <c r="G186" s="17"/>
      <c r="H186" s="17"/>
      <c r="I186" s="17"/>
      <c r="J186" s="11"/>
      <c r="K186" s="11"/>
      <c r="L186" s="11"/>
    </row>
    <row r="187" spans="2:12" x14ac:dyDescent="0.25">
      <c r="B187" s="7"/>
      <c r="C187" s="10"/>
      <c r="D187" s="10"/>
      <c r="E187" s="17"/>
      <c r="F187" s="17"/>
      <c r="G187" s="17"/>
      <c r="H187" s="17"/>
      <c r="I187" s="17"/>
      <c r="J187" s="11"/>
      <c r="K187" s="11"/>
      <c r="L187" s="11"/>
    </row>
    <row r="188" spans="2:12" x14ac:dyDescent="0.25">
      <c r="B188" s="7"/>
      <c r="C188" s="10"/>
      <c r="D188" s="10"/>
      <c r="E188" s="17"/>
      <c r="F188" s="17"/>
      <c r="G188" s="17"/>
      <c r="H188" s="17"/>
      <c r="I188" s="17"/>
      <c r="J188" s="11"/>
      <c r="K188" s="11"/>
      <c r="L188" s="11"/>
    </row>
    <row r="189" spans="2:12" x14ac:dyDescent="0.25">
      <c r="B189" s="7"/>
      <c r="C189" s="10"/>
      <c r="D189" s="10"/>
      <c r="E189" s="17"/>
      <c r="F189" s="17"/>
      <c r="G189" s="17"/>
      <c r="H189" s="17"/>
      <c r="I189" s="17"/>
      <c r="J189" s="11"/>
      <c r="K189" s="11"/>
      <c r="L189" s="11"/>
    </row>
    <row r="190" spans="2:12" x14ac:dyDescent="0.25">
      <c r="B190" s="7"/>
      <c r="C190" s="10"/>
      <c r="D190" s="10"/>
      <c r="E190" s="17"/>
      <c r="F190" s="17"/>
      <c r="G190" s="17"/>
      <c r="H190" s="17"/>
      <c r="I190" s="17"/>
      <c r="J190" s="11"/>
      <c r="K190" s="11"/>
      <c r="L190" s="11"/>
    </row>
    <row r="191" spans="2:12" x14ac:dyDescent="0.25">
      <c r="B191" s="7"/>
      <c r="C191" s="10"/>
      <c r="D191" s="10"/>
      <c r="E191" s="17"/>
      <c r="F191" s="17"/>
      <c r="G191" s="17"/>
      <c r="H191" s="17"/>
      <c r="I191" s="17"/>
      <c r="J191" s="11"/>
      <c r="K191" s="11"/>
      <c r="L191" s="11"/>
    </row>
    <row r="192" spans="2:12" x14ac:dyDescent="0.25">
      <c r="B192" s="7"/>
      <c r="C192" s="10"/>
      <c r="D192" s="10"/>
      <c r="E192" s="17"/>
      <c r="F192" s="17"/>
      <c r="G192" s="17"/>
      <c r="H192" s="17"/>
      <c r="I192" s="17"/>
      <c r="J192" s="11"/>
      <c r="K192" s="11"/>
      <c r="L192" s="11"/>
    </row>
    <row r="193" spans="2:12" x14ac:dyDescent="0.25">
      <c r="B193" s="7"/>
      <c r="C193" s="10"/>
      <c r="D193" s="10"/>
      <c r="E193" s="17"/>
      <c r="F193" s="17"/>
      <c r="G193" s="17"/>
      <c r="H193" s="17"/>
      <c r="I193" s="17"/>
      <c r="J193" s="11"/>
      <c r="K193" s="11"/>
      <c r="L193" s="11"/>
    </row>
    <row r="194" spans="2:12" x14ac:dyDescent="0.25">
      <c r="B194" s="7"/>
      <c r="C194" s="10"/>
      <c r="D194" s="10"/>
      <c r="E194" s="17"/>
      <c r="F194" s="17"/>
      <c r="G194" s="17"/>
      <c r="H194" s="17"/>
      <c r="I194" s="17"/>
      <c r="J194" s="11"/>
      <c r="K194" s="11"/>
      <c r="L194" s="11"/>
    </row>
    <row r="195" spans="2:12" x14ac:dyDescent="0.25">
      <c r="B195" s="7"/>
      <c r="C195" s="10"/>
      <c r="D195" s="10"/>
      <c r="E195" s="17"/>
      <c r="F195" s="17"/>
      <c r="G195" s="17"/>
      <c r="H195" s="17"/>
      <c r="I195" s="17"/>
      <c r="J195" s="11"/>
      <c r="K195" s="11"/>
      <c r="L195" s="11"/>
    </row>
    <row r="196" spans="2:12" x14ac:dyDescent="0.25">
      <c r="B196" s="7"/>
      <c r="C196" s="10"/>
      <c r="D196" s="10"/>
      <c r="E196" s="17"/>
      <c r="F196" s="17"/>
      <c r="G196" s="17"/>
      <c r="H196" s="17"/>
      <c r="I196" s="17"/>
      <c r="J196" s="11"/>
      <c r="K196" s="11"/>
      <c r="L196" s="11"/>
    </row>
    <row r="197" spans="2:12" x14ac:dyDescent="0.25">
      <c r="B197" s="7"/>
      <c r="C197" s="10"/>
      <c r="D197" s="10"/>
      <c r="E197" s="17"/>
      <c r="F197" s="17"/>
      <c r="G197" s="17"/>
      <c r="H197" s="17"/>
      <c r="I197" s="17"/>
      <c r="J197" s="11"/>
      <c r="K197" s="11"/>
      <c r="L197" s="11"/>
    </row>
    <row r="198" spans="2:12" x14ac:dyDescent="0.25">
      <c r="B198" s="7"/>
      <c r="C198" s="10"/>
      <c r="D198" s="10"/>
      <c r="E198" s="17"/>
      <c r="F198" s="17"/>
      <c r="G198" s="17"/>
      <c r="H198" s="17"/>
      <c r="I198" s="17"/>
      <c r="J198" s="11"/>
      <c r="K198" s="11"/>
      <c r="L198" s="11"/>
    </row>
    <row r="199" spans="2:12" x14ac:dyDescent="0.25">
      <c r="B199" s="7"/>
      <c r="C199" s="10"/>
      <c r="D199" s="10"/>
      <c r="E199" s="17"/>
      <c r="F199" s="17"/>
      <c r="G199" s="17"/>
      <c r="H199" s="17"/>
      <c r="I199" s="17"/>
      <c r="J199" s="11"/>
      <c r="K199" s="11"/>
      <c r="L199" s="11"/>
    </row>
    <row r="200" spans="2:12" x14ac:dyDescent="0.25">
      <c r="B200" s="7"/>
      <c r="C200" s="10"/>
      <c r="D200" s="10"/>
      <c r="E200" s="17"/>
      <c r="F200" s="17"/>
      <c r="G200" s="17"/>
      <c r="H200" s="17"/>
      <c r="I200" s="17"/>
      <c r="J200" s="11"/>
      <c r="K200" s="11"/>
      <c r="L200" s="11"/>
    </row>
    <row r="201" spans="2:12" x14ac:dyDescent="0.25">
      <c r="B201" s="7"/>
      <c r="C201" s="10"/>
      <c r="D201" s="10"/>
      <c r="E201" s="17"/>
      <c r="F201" s="17"/>
      <c r="G201" s="17"/>
      <c r="H201" s="17"/>
      <c r="I201" s="17"/>
      <c r="J201" s="11"/>
      <c r="K201" s="11"/>
      <c r="L201" s="11"/>
    </row>
    <row r="202" spans="2:12" x14ac:dyDescent="0.25">
      <c r="B202" s="7"/>
      <c r="C202" s="10"/>
      <c r="D202" s="10"/>
      <c r="E202" s="17"/>
      <c r="F202" s="17"/>
      <c r="G202" s="17"/>
      <c r="H202" s="17"/>
      <c r="I202" s="17"/>
      <c r="J202" s="11"/>
      <c r="K202" s="11"/>
      <c r="L202" s="11"/>
    </row>
    <row r="203" spans="2:12" x14ac:dyDescent="0.25">
      <c r="B203" s="7"/>
      <c r="C203" s="10"/>
      <c r="D203" s="10"/>
      <c r="E203" s="17"/>
      <c r="F203" s="17"/>
      <c r="G203" s="17"/>
      <c r="H203" s="17"/>
      <c r="I203" s="17"/>
      <c r="J203" s="11"/>
      <c r="K203" s="11"/>
      <c r="L203" s="11"/>
    </row>
    <row r="204" spans="2:12" x14ac:dyDescent="0.25">
      <c r="B204" s="7"/>
      <c r="C204" s="10"/>
      <c r="D204" s="10"/>
      <c r="E204" s="17"/>
      <c r="F204" s="17"/>
      <c r="G204" s="17"/>
      <c r="H204" s="17"/>
      <c r="I204" s="17"/>
      <c r="J204" s="11"/>
      <c r="K204" s="11"/>
      <c r="L204" s="11"/>
    </row>
    <row r="205" spans="2:12" x14ac:dyDescent="0.25">
      <c r="B205" s="7"/>
      <c r="C205" s="10"/>
      <c r="D205" s="10"/>
      <c r="E205" s="17"/>
      <c r="F205" s="17"/>
      <c r="G205" s="17"/>
      <c r="H205" s="17"/>
      <c r="I205" s="17"/>
      <c r="J205" s="11"/>
      <c r="K205" s="11"/>
      <c r="L205" s="11"/>
    </row>
    <row r="206" spans="2:12" x14ac:dyDescent="0.25">
      <c r="B206" s="7"/>
      <c r="C206" s="10"/>
      <c r="D206" s="10"/>
      <c r="E206" s="17"/>
      <c r="F206" s="17"/>
      <c r="G206" s="17"/>
      <c r="H206" s="17"/>
      <c r="I206" s="17"/>
      <c r="J206" s="11"/>
      <c r="K206" s="11"/>
      <c r="L206" s="11"/>
    </row>
    <row r="207" spans="2:12" x14ac:dyDescent="0.25">
      <c r="B207" s="7"/>
      <c r="C207" s="10"/>
      <c r="D207" s="10"/>
      <c r="E207" s="17"/>
      <c r="F207" s="17"/>
      <c r="G207" s="17"/>
      <c r="H207" s="17"/>
      <c r="I207" s="17"/>
      <c r="J207" s="11"/>
      <c r="K207" s="11"/>
      <c r="L207" s="11"/>
    </row>
    <row r="208" spans="2:12" x14ac:dyDescent="0.25">
      <c r="B208" s="7"/>
      <c r="C208" s="10"/>
      <c r="D208" s="10"/>
      <c r="E208" s="17"/>
      <c r="F208" s="17"/>
      <c r="G208" s="17"/>
      <c r="H208" s="17"/>
      <c r="I208" s="17"/>
      <c r="J208" s="11"/>
      <c r="K208" s="11"/>
      <c r="L208" s="11"/>
    </row>
    <row r="209" spans="2:12" x14ac:dyDescent="0.25">
      <c r="B209" s="7"/>
      <c r="C209" s="10"/>
      <c r="D209" s="10"/>
      <c r="E209" s="17"/>
      <c r="F209" s="17"/>
      <c r="G209" s="17"/>
      <c r="H209" s="17"/>
      <c r="I209" s="17"/>
      <c r="J209" s="11"/>
      <c r="K209" s="11"/>
      <c r="L209" s="11"/>
    </row>
    <row r="210" spans="2:12" x14ac:dyDescent="0.25">
      <c r="B210" s="7"/>
      <c r="C210" s="10"/>
      <c r="D210" s="10"/>
      <c r="E210" s="17"/>
      <c r="F210" s="17"/>
      <c r="G210" s="17"/>
      <c r="H210" s="17"/>
      <c r="I210" s="17"/>
      <c r="J210" s="11"/>
      <c r="K210" s="11"/>
      <c r="L210" s="11"/>
    </row>
    <row r="211" spans="2:12" x14ac:dyDescent="0.25">
      <c r="B211" s="7"/>
      <c r="C211" s="10"/>
      <c r="D211" s="10"/>
      <c r="E211" s="17"/>
      <c r="F211" s="17"/>
      <c r="G211" s="17"/>
      <c r="H211" s="17"/>
      <c r="I211" s="17"/>
      <c r="J211" s="11"/>
      <c r="K211" s="11"/>
      <c r="L211" s="11"/>
    </row>
    <row r="212" spans="2:12" x14ac:dyDescent="0.25">
      <c r="B212" s="7"/>
      <c r="C212" s="10"/>
      <c r="D212" s="10"/>
      <c r="E212" s="17"/>
      <c r="F212" s="17"/>
      <c r="G212" s="17"/>
      <c r="H212" s="17"/>
      <c r="I212" s="17"/>
      <c r="J212" s="11"/>
      <c r="K212" s="11"/>
      <c r="L212" s="11"/>
    </row>
    <row r="213" spans="2:12" x14ac:dyDescent="0.25">
      <c r="B213" s="7"/>
      <c r="C213" s="10"/>
      <c r="D213" s="10"/>
      <c r="E213" s="17"/>
      <c r="F213" s="17"/>
      <c r="G213" s="17"/>
      <c r="H213" s="17"/>
      <c r="I213" s="17"/>
      <c r="J213" s="11"/>
      <c r="K213" s="11"/>
      <c r="L213" s="11"/>
    </row>
    <row r="214" spans="2:12" x14ac:dyDescent="0.25">
      <c r="B214" s="7"/>
      <c r="C214" s="10"/>
      <c r="D214" s="10"/>
      <c r="E214" s="17"/>
      <c r="F214" s="17"/>
      <c r="G214" s="17"/>
      <c r="H214" s="17"/>
      <c r="I214" s="17"/>
      <c r="J214" s="11"/>
      <c r="K214" s="11"/>
      <c r="L214" s="11"/>
    </row>
    <row r="215" spans="2:12" x14ac:dyDescent="0.25">
      <c r="B215" s="7"/>
      <c r="C215" s="10"/>
      <c r="D215" s="10"/>
      <c r="E215" s="17"/>
      <c r="F215" s="17"/>
      <c r="G215" s="17"/>
      <c r="H215" s="17"/>
      <c r="I215" s="17"/>
      <c r="J215" s="11"/>
      <c r="K215" s="11"/>
      <c r="L215" s="11"/>
    </row>
    <row r="216" spans="2:12" x14ac:dyDescent="0.25">
      <c r="B216" s="7"/>
      <c r="C216" s="10"/>
      <c r="D216" s="10"/>
      <c r="E216" s="17"/>
      <c r="F216" s="17"/>
      <c r="G216" s="17"/>
      <c r="H216" s="17"/>
      <c r="I216" s="17"/>
      <c r="J216" s="11"/>
      <c r="K216" s="11"/>
      <c r="L216" s="11"/>
    </row>
    <row r="217" spans="2:12" x14ac:dyDescent="0.25">
      <c r="B217" s="7"/>
      <c r="C217" s="10"/>
      <c r="D217" s="10"/>
      <c r="E217" s="17"/>
      <c r="F217" s="17"/>
      <c r="G217" s="17"/>
      <c r="H217" s="17"/>
      <c r="I217" s="17"/>
      <c r="J217" s="11"/>
      <c r="K217" s="11"/>
      <c r="L217" s="11"/>
    </row>
    <row r="218" spans="2:12" x14ac:dyDescent="0.25">
      <c r="B218" s="7"/>
      <c r="C218" s="10"/>
      <c r="D218" s="10"/>
      <c r="E218" s="17"/>
      <c r="F218" s="17"/>
      <c r="G218" s="17"/>
      <c r="H218" s="17"/>
      <c r="I218" s="17"/>
      <c r="J218" s="11"/>
      <c r="K218" s="11"/>
      <c r="L218" s="11"/>
    </row>
    <row r="219" spans="2:12" x14ac:dyDescent="0.25">
      <c r="B219" s="7"/>
      <c r="C219" s="10"/>
      <c r="D219" s="10"/>
      <c r="E219" s="17"/>
      <c r="F219" s="17"/>
      <c r="G219" s="17"/>
      <c r="H219" s="17"/>
      <c r="I219" s="17"/>
      <c r="J219" s="11"/>
      <c r="K219" s="11"/>
      <c r="L219" s="11"/>
    </row>
    <row r="220" spans="2:12" x14ac:dyDescent="0.25">
      <c r="B220" s="7"/>
      <c r="C220" s="10"/>
      <c r="D220" s="10"/>
      <c r="E220" s="17"/>
      <c r="F220" s="17"/>
      <c r="G220" s="17"/>
      <c r="H220" s="17"/>
      <c r="I220" s="17"/>
      <c r="J220" s="11"/>
      <c r="K220" s="11"/>
      <c r="L220" s="11"/>
    </row>
    <row r="221" spans="2:12" x14ac:dyDescent="0.25">
      <c r="B221" s="7"/>
      <c r="C221" s="10"/>
      <c r="D221" s="10"/>
      <c r="E221" s="17"/>
      <c r="F221" s="17"/>
      <c r="G221" s="17"/>
      <c r="H221" s="17"/>
      <c r="I221" s="17"/>
      <c r="J221" s="11"/>
      <c r="K221" s="11"/>
      <c r="L221" s="11"/>
    </row>
    <row r="222" spans="2:12" x14ac:dyDescent="0.25">
      <c r="B222" s="7"/>
      <c r="C222" s="10"/>
      <c r="D222" s="10"/>
      <c r="E222" s="17"/>
      <c r="F222" s="17"/>
      <c r="G222" s="17"/>
      <c r="H222" s="17"/>
      <c r="I222" s="17"/>
      <c r="J222" s="11"/>
      <c r="K222" s="11"/>
      <c r="L222" s="11"/>
    </row>
    <row r="223" spans="2:12" x14ac:dyDescent="0.25">
      <c r="B223" s="7"/>
      <c r="C223" s="10"/>
      <c r="D223" s="10"/>
      <c r="E223" s="17"/>
      <c r="F223" s="17"/>
      <c r="G223" s="17"/>
      <c r="H223" s="17"/>
      <c r="I223" s="17"/>
      <c r="J223" s="11"/>
      <c r="K223" s="11"/>
      <c r="L223" s="11"/>
    </row>
    <row r="224" spans="2:12" x14ac:dyDescent="0.25">
      <c r="B224" s="7"/>
      <c r="C224" s="10"/>
      <c r="D224" s="10"/>
      <c r="E224" s="17"/>
      <c r="F224" s="17"/>
      <c r="G224" s="17"/>
      <c r="H224" s="17"/>
      <c r="I224" s="17"/>
      <c r="J224" s="11"/>
      <c r="K224" s="11"/>
      <c r="L224" s="11"/>
    </row>
    <row r="225" spans="2:12" x14ac:dyDescent="0.25">
      <c r="B225" s="7"/>
      <c r="C225" s="10"/>
      <c r="D225" s="10"/>
      <c r="E225" s="17"/>
      <c r="F225" s="17"/>
      <c r="G225" s="17"/>
      <c r="H225" s="17"/>
      <c r="I225" s="17"/>
      <c r="J225" s="11"/>
      <c r="K225" s="11"/>
      <c r="L225" s="11"/>
    </row>
    <row r="226" spans="2:12" x14ac:dyDescent="0.25">
      <c r="B226" s="7"/>
      <c r="C226" s="10"/>
      <c r="D226" s="10"/>
      <c r="E226" s="17"/>
      <c r="F226" s="17"/>
      <c r="G226" s="17"/>
      <c r="H226" s="17"/>
      <c r="I226" s="17"/>
      <c r="J226" s="11"/>
      <c r="K226" s="11"/>
      <c r="L226" s="11"/>
    </row>
    <row r="227" spans="2:12" x14ac:dyDescent="0.25">
      <c r="B227" s="7"/>
      <c r="C227" s="10"/>
      <c r="D227" s="10"/>
      <c r="E227" s="17"/>
      <c r="F227" s="17"/>
      <c r="G227" s="17"/>
      <c r="H227" s="17"/>
      <c r="I227" s="17"/>
      <c r="J227" s="11"/>
      <c r="K227" s="11"/>
      <c r="L227" s="11"/>
    </row>
    <row r="228" spans="2:12" x14ac:dyDescent="0.25">
      <c r="B228" s="7"/>
      <c r="C228" s="10"/>
      <c r="D228" s="10"/>
      <c r="E228" s="17"/>
      <c r="F228" s="17"/>
      <c r="G228" s="17"/>
      <c r="H228" s="17"/>
      <c r="I228" s="17"/>
      <c r="J228" s="11"/>
      <c r="K228" s="11"/>
      <c r="L228" s="11"/>
    </row>
    <row r="229" spans="2:12" x14ac:dyDescent="0.25">
      <c r="B229" s="7"/>
      <c r="C229" s="10"/>
      <c r="D229" s="10"/>
      <c r="E229" s="17"/>
      <c r="F229" s="17"/>
      <c r="G229" s="17"/>
      <c r="H229" s="17"/>
      <c r="I229" s="17"/>
      <c r="J229" s="11"/>
      <c r="K229" s="11"/>
      <c r="L229" s="11"/>
    </row>
    <row r="230" spans="2:12" x14ac:dyDescent="0.25">
      <c r="B230" s="7"/>
      <c r="C230" s="10"/>
      <c r="D230" s="10"/>
      <c r="E230" s="17"/>
      <c r="F230" s="17"/>
      <c r="G230" s="17"/>
      <c r="H230" s="17"/>
      <c r="I230" s="17"/>
      <c r="J230" s="11"/>
      <c r="K230" s="11"/>
      <c r="L230" s="11"/>
    </row>
    <row r="231" spans="2:12" x14ac:dyDescent="0.25">
      <c r="B231" s="7"/>
      <c r="C231" s="10"/>
      <c r="D231" s="10"/>
      <c r="E231" s="17"/>
      <c r="F231" s="17"/>
      <c r="G231" s="17"/>
      <c r="H231" s="17"/>
      <c r="I231" s="17"/>
      <c r="J231" s="11"/>
      <c r="K231" s="11"/>
      <c r="L231" s="11"/>
    </row>
    <row r="232" spans="2:12" x14ac:dyDescent="0.25">
      <c r="B232" s="7"/>
      <c r="C232" s="10"/>
      <c r="D232" s="10"/>
      <c r="E232" s="17"/>
      <c r="F232" s="17"/>
      <c r="G232" s="17"/>
      <c r="H232" s="17"/>
      <c r="I232" s="17"/>
      <c r="J232" s="11"/>
      <c r="K232" s="11"/>
      <c r="L232" s="11"/>
    </row>
    <row r="233" spans="2:12" x14ac:dyDescent="0.25">
      <c r="B233" s="7"/>
      <c r="C233" s="10"/>
      <c r="D233" s="10"/>
      <c r="E233" s="17"/>
      <c r="F233" s="17"/>
      <c r="G233" s="17"/>
      <c r="H233" s="17"/>
      <c r="I233" s="17"/>
      <c r="J233" s="11"/>
      <c r="K233" s="11"/>
      <c r="L233" s="11"/>
    </row>
    <row r="234" spans="2:12" x14ac:dyDescent="0.25">
      <c r="B234" s="7"/>
      <c r="C234" s="10"/>
      <c r="D234" s="10"/>
      <c r="E234" s="17"/>
      <c r="F234" s="17"/>
      <c r="G234" s="17"/>
      <c r="H234" s="17"/>
      <c r="I234" s="17"/>
      <c r="J234" s="11"/>
      <c r="K234" s="11"/>
      <c r="L234" s="11"/>
    </row>
    <row r="235" spans="2:12" x14ac:dyDescent="0.25">
      <c r="B235" s="7"/>
      <c r="C235" s="10"/>
      <c r="D235" s="10"/>
      <c r="E235" s="17"/>
      <c r="F235" s="17"/>
      <c r="G235" s="17"/>
      <c r="H235" s="17"/>
      <c r="I235" s="17"/>
      <c r="J235" s="11"/>
      <c r="K235" s="11"/>
      <c r="L235" s="11"/>
    </row>
    <row r="236" spans="2:12" x14ac:dyDescent="0.25">
      <c r="B236" s="7"/>
      <c r="C236" s="10"/>
      <c r="D236" s="10"/>
      <c r="E236" s="17"/>
      <c r="F236" s="17"/>
      <c r="G236" s="17"/>
      <c r="H236" s="17"/>
      <c r="I236" s="17"/>
      <c r="J236" s="11"/>
      <c r="K236" s="11"/>
      <c r="L236" s="11"/>
    </row>
    <row r="237" spans="2:12" x14ac:dyDescent="0.25">
      <c r="B237" s="7"/>
      <c r="C237" s="10"/>
      <c r="D237" s="10"/>
      <c r="E237" s="17"/>
      <c r="F237" s="17"/>
      <c r="G237" s="17"/>
      <c r="H237" s="17"/>
      <c r="I237" s="17"/>
      <c r="J237" s="11"/>
      <c r="K237" s="11"/>
      <c r="L237" s="11"/>
    </row>
    <row r="238" spans="2:12" x14ac:dyDescent="0.25">
      <c r="B238" s="7"/>
      <c r="C238" s="10"/>
      <c r="D238" s="10"/>
      <c r="E238" s="17"/>
      <c r="F238" s="17"/>
      <c r="G238" s="17"/>
      <c r="H238" s="17"/>
      <c r="I238" s="17"/>
      <c r="J238" s="11"/>
      <c r="K238" s="11"/>
      <c r="L238" s="11"/>
    </row>
    <row r="239" spans="2:12" x14ac:dyDescent="0.25">
      <c r="B239" s="7"/>
      <c r="C239" s="10"/>
      <c r="D239" s="10"/>
      <c r="E239" s="17"/>
      <c r="F239" s="17"/>
      <c r="G239" s="17"/>
      <c r="H239" s="17"/>
      <c r="I239" s="17"/>
      <c r="J239" s="11"/>
      <c r="K239" s="11"/>
      <c r="L239" s="11"/>
    </row>
    <row r="240" spans="2:12" x14ac:dyDescent="0.25">
      <c r="B240" s="7"/>
      <c r="C240" s="10"/>
      <c r="D240" s="10"/>
      <c r="E240" s="17"/>
      <c r="F240" s="17"/>
      <c r="G240" s="17"/>
      <c r="H240" s="17"/>
      <c r="I240" s="17"/>
      <c r="J240" s="11"/>
      <c r="K240" s="11"/>
      <c r="L240" s="11"/>
    </row>
    <row r="241" spans="2:15" x14ac:dyDescent="0.25">
      <c r="B241" s="7"/>
      <c r="C241" s="10"/>
      <c r="D241" s="10"/>
      <c r="E241" s="17"/>
      <c r="F241" s="17"/>
      <c r="G241" s="17"/>
      <c r="H241" s="17"/>
      <c r="I241" s="17"/>
      <c r="J241" s="11"/>
      <c r="K241" s="11"/>
      <c r="L241" s="11"/>
    </row>
    <row r="242" spans="2:15" x14ac:dyDescent="0.25">
      <c r="B242" s="7"/>
      <c r="C242" s="10"/>
      <c r="D242" s="10"/>
      <c r="E242" s="17"/>
      <c r="F242" s="17"/>
      <c r="G242" s="17"/>
      <c r="H242" s="17"/>
      <c r="I242" s="17"/>
      <c r="J242" s="11"/>
      <c r="K242" s="11"/>
      <c r="L242" s="11"/>
    </row>
    <row r="243" spans="2:15" x14ac:dyDescent="0.25">
      <c r="B243" s="7"/>
      <c r="C243" s="10"/>
      <c r="D243" s="10"/>
      <c r="E243" s="17"/>
      <c r="F243" s="17"/>
      <c r="G243" s="17"/>
      <c r="H243" s="17"/>
      <c r="I243" s="17"/>
      <c r="J243" s="11"/>
      <c r="K243" s="11"/>
      <c r="L243" s="11"/>
    </row>
    <row r="244" spans="2:15" x14ac:dyDescent="0.25">
      <c r="B244" s="7"/>
      <c r="C244" s="10"/>
      <c r="D244" s="10"/>
      <c r="E244" s="17"/>
      <c r="F244" s="17"/>
      <c r="G244" s="17"/>
      <c r="H244" s="17"/>
      <c r="I244" s="17"/>
      <c r="J244" s="11"/>
      <c r="K244" s="11"/>
      <c r="L244" s="11"/>
    </row>
    <row r="245" spans="2:15" x14ac:dyDescent="0.25">
      <c r="B245" s="7"/>
      <c r="C245" s="10"/>
      <c r="D245" s="10"/>
      <c r="E245" s="17"/>
      <c r="F245" s="17"/>
      <c r="G245" s="17"/>
      <c r="H245" s="17"/>
      <c r="I245" s="17"/>
      <c r="J245" s="11"/>
      <c r="K245" s="11"/>
      <c r="L245" s="11"/>
    </row>
    <row r="246" spans="2:15" x14ac:dyDescent="0.25">
      <c r="B246" s="7"/>
      <c r="C246" s="10"/>
      <c r="D246" s="10"/>
      <c r="E246" s="17"/>
      <c r="F246" s="17"/>
      <c r="G246" s="17"/>
      <c r="H246" s="17"/>
      <c r="I246" s="17"/>
      <c r="J246" s="11"/>
      <c r="K246" s="11"/>
      <c r="L246" s="11"/>
    </row>
    <row r="247" spans="2:15" x14ac:dyDescent="0.25">
      <c r="B247" s="7"/>
      <c r="C247" s="10"/>
      <c r="D247" s="10"/>
      <c r="E247" s="17"/>
      <c r="F247" s="17"/>
      <c r="G247" s="17"/>
      <c r="H247" s="17"/>
      <c r="I247" s="17"/>
      <c r="J247" s="11"/>
      <c r="K247" s="11"/>
      <c r="L247" s="11"/>
    </row>
    <row r="248" spans="2:15" x14ac:dyDescent="0.25">
      <c r="B248" s="7"/>
      <c r="C248" s="10"/>
      <c r="D248" s="10"/>
      <c r="E248" s="17"/>
      <c r="F248" s="17"/>
      <c r="G248" s="17"/>
      <c r="H248" s="17"/>
      <c r="I248" s="17"/>
      <c r="J248" s="11"/>
      <c r="K248" s="11"/>
      <c r="L248" s="11"/>
    </row>
    <row r="249" spans="2:15" x14ac:dyDescent="0.25">
      <c r="B249" s="7"/>
      <c r="C249" s="10"/>
      <c r="D249" s="10"/>
      <c r="E249" s="17"/>
      <c r="F249" s="17"/>
      <c r="G249" s="17"/>
      <c r="H249" s="17"/>
      <c r="I249" s="17"/>
      <c r="J249" s="11"/>
      <c r="K249" s="11"/>
      <c r="L249" s="11"/>
    </row>
    <row r="250" spans="2:15" x14ac:dyDescent="0.25">
      <c r="B250" s="7"/>
      <c r="C250" s="10"/>
      <c r="D250" s="10"/>
      <c r="E250" s="17"/>
      <c r="F250" s="17"/>
      <c r="G250" s="17"/>
      <c r="H250" s="17"/>
      <c r="I250" s="17"/>
      <c r="J250" s="11"/>
      <c r="K250" s="11"/>
      <c r="L250" s="11"/>
    </row>
    <row r="251" spans="2:15" x14ac:dyDescent="0.25">
      <c r="B251" s="7"/>
      <c r="C251" s="10"/>
      <c r="D251" s="10"/>
      <c r="E251" s="17"/>
      <c r="F251" s="17"/>
      <c r="G251" s="17"/>
      <c r="H251" s="17"/>
      <c r="I251" s="17"/>
      <c r="J251" s="11"/>
      <c r="K251" s="11"/>
      <c r="L251" s="11"/>
    </row>
    <row r="252" spans="2:15" x14ac:dyDescent="0.25">
      <c r="B252" s="7"/>
      <c r="C252" s="10"/>
      <c r="D252" s="10"/>
      <c r="E252" s="17"/>
      <c r="F252" s="17"/>
      <c r="G252" s="17"/>
      <c r="H252" s="17"/>
      <c r="I252" s="17"/>
      <c r="J252" s="11"/>
      <c r="K252" s="11"/>
      <c r="L252" s="11"/>
      <c r="M252" s="14" t="str" cm="1">
        <f t="array" aca="1" ref="M252:N502" ca="1">_xlfn.STOCKHISTORY(H1,TODAY()-365,TODAY())</f>
        <v>Date</v>
      </c>
      <c r="N252" s="14" t="str">
        <f ca="1"/>
        <v>Close</v>
      </c>
      <c r="O252" s="14"/>
    </row>
    <row r="253" spans="2:15" x14ac:dyDescent="0.25">
      <c r="B253" s="7"/>
      <c r="C253" s="10"/>
      <c r="D253" s="10"/>
      <c r="E253" s="17"/>
      <c r="F253" s="17"/>
      <c r="G253" s="17"/>
      <c r="H253" s="17"/>
      <c r="I253" s="17"/>
      <c r="J253" s="11"/>
      <c r="K253" s="11"/>
      <c r="L253" s="11"/>
      <c r="M253" s="14" vm="2">
        <f ca="1"/>
        <v>45470</v>
      </c>
      <c r="N253" s="14" vm="3">
        <f ca="1"/>
        <v>25.22</v>
      </c>
      <c r="O253" s="14">
        <f ca="1">LN(N254/N253)</f>
        <v>4.352133476810338E-3</v>
      </c>
    </row>
    <row r="254" spans="2:15" x14ac:dyDescent="0.25">
      <c r="B254" s="7"/>
      <c r="C254" s="10"/>
      <c r="D254" s="10"/>
      <c r="E254" s="17"/>
      <c r="F254" s="17"/>
      <c r="G254" s="17"/>
      <c r="H254" s="17"/>
      <c r="I254" s="17"/>
      <c r="J254" s="11"/>
      <c r="K254" s="11"/>
      <c r="L254" s="11"/>
      <c r="M254" s="14" vm="4">
        <f ca="1"/>
        <v>45471</v>
      </c>
      <c r="N254" s="14" vm="5">
        <f ca="1"/>
        <v>25.33</v>
      </c>
      <c r="O254" s="14">
        <f t="shared" ref="O254:O317" ca="1" si="0">LN(N255/N254)</f>
        <v>2.1481005619116054E-2</v>
      </c>
    </row>
    <row r="255" spans="2:15" x14ac:dyDescent="0.25">
      <c r="B255" s="7"/>
      <c r="C255" s="10"/>
      <c r="D255" s="10"/>
      <c r="E255" s="17"/>
      <c r="F255" s="17"/>
      <c r="G255" s="17"/>
      <c r="H255" s="17"/>
      <c r="I255" s="17"/>
      <c r="J255" s="11"/>
      <c r="K255" s="11"/>
      <c r="L255" s="11"/>
      <c r="M255" s="14" vm="6">
        <f ca="1"/>
        <v>45474</v>
      </c>
      <c r="N255" s="14" vm="7">
        <f ca="1"/>
        <v>25.88</v>
      </c>
      <c r="O255" s="14">
        <f t="shared" ca="1" si="0"/>
        <v>-1.9338625249506786E-3</v>
      </c>
    </row>
    <row r="256" spans="2:15" x14ac:dyDescent="0.25">
      <c r="B256" s="7"/>
      <c r="C256" s="10"/>
      <c r="D256" s="10"/>
      <c r="E256" s="17"/>
      <c r="F256" s="17"/>
      <c r="G256" s="17"/>
      <c r="H256" s="17"/>
      <c r="I256" s="17"/>
      <c r="J256" s="11"/>
      <c r="K256" s="11"/>
      <c r="L256" s="11"/>
      <c r="M256" s="14" vm="8">
        <f ca="1"/>
        <v>45475</v>
      </c>
      <c r="N256" s="14" vm="9">
        <f ca="1"/>
        <v>25.83</v>
      </c>
      <c r="O256" s="14">
        <f t="shared" ca="1" si="0"/>
        <v>7.7399384668908131E-4</v>
      </c>
    </row>
    <row r="257" spans="2:15" x14ac:dyDescent="0.25">
      <c r="B257" s="7"/>
      <c r="C257" s="10"/>
      <c r="D257" s="10"/>
      <c r="E257" s="17"/>
      <c r="F257" s="17"/>
      <c r="G257" s="17"/>
      <c r="H257" s="17"/>
      <c r="I257" s="17"/>
      <c r="J257" s="11"/>
      <c r="K257" s="11"/>
      <c r="L257" s="11"/>
      <c r="M257" s="14" vm="10">
        <f ca="1"/>
        <v>45476</v>
      </c>
      <c r="N257" s="14" vm="11">
        <f ca="1"/>
        <v>25.85</v>
      </c>
      <c r="O257" s="14">
        <f t="shared" ca="1" si="0"/>
        <v>5.2008705731230127E-2</v>
      </c>
    </row>
    <row r="258" spans="2:15" x14ac:dyDescent="0.25">
      <c r="B258" s="7"/>
      <c r="C258" s="10"/>
      <c r="D258" s="10"/>
      <c r="E258" s="17"/>
      <c r="F258" s="17"/>
      <c r="G258" s="17"/>
      <c r="H258" s="17"/>
      <c r="I258" s="17"/>
      <c r="J258" s="11"/>
      <c r="K258" s="11"/>
      <c r="L258" s="11"/>
      <c r="M258" s="14" vm="12">
        <f ca="1"/>
        <v>45478</v>
      </c>
      <c r="N258" s="14" vm="13">
        <f ca="1"/>
        <v>27.23</v>
      </c>
      <c r="O258" s="14">
        <f t="shared" ca="1" si="0"/>
        <v>1.7113106507624549E-2</v>
      </c>
    </row>
    <row r="259" spans="2:15" x14ac:dyDescent="0.25">
      <c r="B259" s="7"/>
      <c r="C259" s="10"/>
      <c r="D259" s="10"/>
      <c r="E259" s="17"/>
      <c r="F259" s="17"/>
      <c r="G259" s="17"/>
      <c r="H259" s="17"/>
      <c r="I259" s="17"/>
      <c r="J259" s="11"/>
      <c r="K259" s="11"/>
      <c r="L259" s="11"/>
      <c r="M259" s="14" vm="14">
        <f ca="1"/>
        <v>45481</v>
      </c>
      <c r="N259" s="14" vm="15">
        <f ca="1"/>
        <v>27.7</v>
      </c>
      <c r="O259" s="14">
        <f t="shared" ca="1" si="0"/>
        <v>-1.1254429918305961E-2</v>
      </c>
    </row>
    <row r="260" spans="2:15" x14ac:dyDescent="0.25">
      <c r="B260" s="7"/>
      <c r="C260" s="10"/>
      <c r="D260" s="10"/>
      <c r="E260" s="17"/>
      <c r="F260" s="17"/>
      <c r="G260" s="17"/>
      <c r="H260" s="17"/>
      <c r="I260" s="17"/>
      <c r="J260" s="11"/>
      <c r="K260" s="11"/>
      <c r="L260" s="11"/>
      <c r="M260" s="14" vm="16">
        <f ca="1"/>
        <v>45482</v>
      </c>
      <c r="N260" s="14" vm="17">
        <f ca="1"/>
        <v>27.39</v>
      </c>
      <c r="O260" s="14">
        <f t="shared" ca="1" si="0"/>
        <v>3.6915139393967907E-2</v>
      </c>
    </row>
    <row r="261" spans="2:15" x14ac:dyDescent="0.25">
      <c r="B261" s="7"/>
      <c r="C261" s="10"/>
      <c r="D261" s="10"/>
      <c r="E261" s="17"/>
      <c r="F261" s="17"/>
      <c r="G261" s="17"/>
      <c r="H261" s="17"/>
      <c r="I261" s="17"/>
      <c r="J261" s="11"/>
      <c r="K261" s="11"/>
      <c r="L261" s="11"/>
      <c r="M261" s="14" vm="18">
        <f ca="1"/>
        <v>45483</v>
      </c>
      <c r="N261" s="14" vm="19">
        <f ca="1"/>
        <v>28.42</v>
      </c>
      <c r="O261" s="14">
        <f t="shared" ca="1" si="0"/>
        <v>-2.782912376948548E-2</v>
      </c>
    </row>
    <row r="262" spans="2:15" x14ac:dyDescent="0.25">
      <c r="B262" s="7"/>
      <c r="C262" s="10"/>
      <c r="D262" s="10"/>
      <c r="E262" s="17"/>
      <c r="F262" s="17"/>
      <c r="G262" s="17"/>
      <c r="H262" s="17"/>
      <c r="I262" s="17"/>
      <c r="J262" s="11"/>
      <c r="K262" s="11"/>
      <c r="L262" s="11"/>
      <c r="M262" s="14" vm="20">
        <f ca="1"/>
        <v>45484</v>
      </c>
      <c r="N262" s="14" vm="21">
        <f ca="1"/>
        <v>27.64</v>
      </c>
      <c r="O262" s="14">
        <f t="shared" ca="1" si="0"/>
        <v>1.5437391474321898E-2</v>
      </c>
    </row>
    <row r="263" spans="2:15" x14ac:dyDescent="0.25">
      <c r="B263" s="7"/>
      <c r="C263" s="10"/>
      <c r="D263" s="10"/>
      <c r="E263" s="17"/>
      <c r="F263" s="17"/>
      <c r="G263" s="17"/>
      <c r="H263" s="17"/>
      <c r="I263" s="17"/>
      <c r="J263" s="11"/>
      <c r="K263" s="11"/>
      <c r="L263" s="11"/>
      <c r="M263" s="14" vm="22">
        <f ca="1"/>
        <v>45485</v>
      </c>
      <c r="N263" s="14" vm="23">
        <f ca="1"/>
        <v>28.07</v>
      </c>
      <c r="O263" s="14">
        <f t="shared" ca="1" si="0"/>
        <v>2.1149889521487469E-2</v>
      </c>
    </row>
    <row r="264" spans="2:15" x14ac:dyDescent="0.25">
      <c r="B264" s="7"/>
      <c r="C264" s="10"/>
      <c r="D264" s="10"/>
      <c r="E264" s="17"/>
      <c r="F264" s="17"/>
      <c r="G264" s="17"/>
      <c r="H264" s="17"/>
      <c r="I264" s="17"/>
      <c r="J264" s="11"/>
      <c r="K264" s="11"/>
      <c r="L264" s="11"/>
      <c r="M264" s="14" vm="24">
        <f ca="1"/>
        <v>45488</v>
      </c>
      <c r="N264" s="14" vm="25">
        <f ca="1"/>
        <v>28.67</v>
      </c>
      <c r="O264" s="14">
        <f t="shared" ca="1" si="0"/>
        <v>0</v>
      </c>
    </row>
    <row r="265" spans="2:15" x14ac:dyDescent="0.25">
      <c r="B265" s="7"/>
      <c r="C265" s="10"/>
      <c r="D265" s="10"/>
      <c r="E265" s="17"/>
      <c r="F265" s="17"/>
      <c r="G265" s="17"/>
      <c r="H265" s="17"/>
      <c r="I265" s="17"/>
      <c r="J265" s="11"/>
      <c r="K265" s="11"/>
      <c r="L265" s="11"/>
      <c r="M265" s="14" vm="26">
        <f ca="1"/>
        <v>45489</v>
      </c>
      <c r="N265" s="14" vm="25">
        <f ca="1"/>
        <v>28.67</v>
      </c>
      <c r="O265" s="14">
        <f t="shared" ca="1" si="0"/>
        <v>-1.582033347061057E-2</v>
      </c>
    </row>
    <row r="266" spans="2:15" x14ac:dyDescent="0.25">
      <c r="B266" s="7"/>
      <c r="C266" s="10"/>
      <c r="D266" s="10"/>
      <c r="E266" s="17"/>
      <c r="F266" s="17"/>
      <c r="G266" s="17"/>
      <c r="H266" s="17"/>
      <c r="I266" s="17"/>
      <c r="J266" s="11"/>
      <c r="K266" s="11"/>
      <c r="L266" s="11"/>
      <c r="M266" s="14" vm="27">
        <f ca="1"/>
        <v>45490</v>
      </c>
      <c r="N266" s="14" vm="28">
        <f ca="1"/>
        <v>28.22</v>
      </c>
      <c r="O266" s="14">
        <f t="shared" ca="1" si="0"/>
        <v>1.4773395667776986E-2</v>
      </c>
    </row>
    <row r="267" spans="2:15" x14ac:dyDescent="0.25">
      <c r="B267" s="7"/>
      <c r="C267" s="10"/>
      <c r="D267" s="10"/>
      <c r="E267" s="17"/>
      <c r="F267" s="17"/>
      <c r="G267" s="17"/>
      <c r="H267" s="17"/>
      <c r="I267" s="17"/>
      <c r="J267" s="11"/>
      <c r="K267" s="11"/>
      <c r="L267" s="11"/>
      <c r="M267" s="14" vm="29">
        <f ca="1"/>
        <v>45491</v>
      </c>
      <c r="N267" s="14" vm="30">
        <f ca="1"/>
        <v>28.64</v>
      </c>
      <c r="O267" s="14">
        <f t="shared" ca="1" si="0"/>
        <v>-2.0971695907236478E-3</v>
      </c>
    </row>
    <row r="268" spans="2:15" x14ac:dyDescent="0.25">
      <c r="B268" s="7"/>
      <c r="C268" s="10"/>
      <c r="D268" s="10"/>
      <c r="E268" s="17"/>
      <c r="F268" s="17"/>
      <c r="G268" s="17"/>
      <c r="H268" s="17"/>
      <c r="I268" s="17"/>
      <c r="J268" s="11"/>
      <c r="K268" s="11"/>
      <c r="L268" s="11"/>
      <c r="M268" s="14" vm="31">
        <f ca="1"/>
        <v>45492</v>
      </c>
      <c r="N268" s="14" vm="32">
        <f ca="1"/>
        <v>28.58</v>
      </c>
      <c r="O268" s="14">
        <f t="shared" ca="1" si="0"/>
        <v>-4.2075798400149928E-3</v>
      </c>
    </row>
    <row r="269" spans="2:15" x14ac:dyDescent="0.25">
      <c r="B269" s="7"/>
      <c r="C269" s="10"/>
      <c r="D269" s="10"/>
      <c r="E269" s="17"/>
      <c r="F269" s="17"/>
      <c r="G269" s="17"/>
      <c r="H269" s="17"/>
      <c r="I269" s="17"/>
      <c r="J269" s="11"/>
      <c r="K269" s="11"/>
      <c r="L269" s="11"/>
      <c r="M269" s="14" vm="33">
        <f ca="1"/>
        <v>45495</v>
      </c>
      <c r="N269" s="14" vm="34">
        <f ca="1"/>
        <v>28.46</v>
      </c>
      <c r="O269" s="14">
        <f t="shared" ca="1" si="0"/>
        <v>1.2222956434730725E-2</v>
      </c>
    </row>
    <row r="270" spans="2:15" x14ac:dyDescent="0.25">
      <c r="B270" s="7"/>
      <c r="C270" s="10"/>
      <c r="D270" s="10"/>
      <c r="E270" s="17"/>
      <c r="F270" s="17"/>
      <c r="G270" s="17"/>
      <c r="H270" s="17"/>
      <c r="I270" s="17"/>
      <c r="J270" s="11"/>
      <c r="K270" s="11"/>
      <c r="L270" s="11"/>
      <c r="M270" s="14" vm="35">
        <f ca="1"/>
        <v>45496</v>
      </c>
      <c r="N270" s="14" vm="36">
        <f ca="1"/>
        <v>28.81</v>
      </c>
      <c r="O270" s="14">
        <f t="shared" ca="1" si="0"/>
        <v>-7.9811333308783663E-2</v>
      </c>
    </row>
    <row r="271" spans="2:15" x14ac:dyDescent="0.25">
      <c r="B271" s="7"/>
      <c r="C271" s="10"/>
      <c r="D271" s="10"/>
      <c r="E271" s="17"/>
      <c r="F271" s="17"/>
      <c r="G271" s="17"/>
      <c r="H271" s="17"/>
      <c r="I271" s="17"/>
      <c r="J271" s="11"/>
      <c r="K271" s="11"/>
      <c r="L271" s="11"/>
      <c r="M271" s="14" vm="37">
        <f ca="1"/>
        <v>45497</v>
      </c>
      <c r="N271" s="14" vm="38">
        <f ca="1"/>
        <v>26.6</v>
      </c>
      <c r="O271" s="14">
        <f t="shared" ca="1" si="0"/>
        <v>1.1271840381874916E-3</v>
      </c>
    </row>
    <row r="272" spans="2:15" x14ac:dyDescent="0.25">
      <c r="B272" s="7"/>
      <c r="C272" s="10"/>
      <c r="D272" s="10"/>
      <c r="E272" s="17"/>
      <c r="F272" s="17"/>
      <c r="G272" s="17"/>
      <c r="H272" s="17"/>
      <c r="I272" s="17"/>
      <c r="J272" s="11"/>
      <c r="K272" s="11"/>
      <c r="L272" s="11"/>
      <c r="M272" s="14" vm="39">
        <f ca="1"/>
        <v>45498</v>
      </c>
      <c r="N272" s="14" vm="40">
        <f ca="1"/>
        <v>26.63</v>
      </c>
      <c r="O272" s="14">
        <f t="shared" ca="1" si="0"/>
        <v>2.0443008897156823E-2</v>
      </c>
    </row>
    <row r="273" spans="2:15" x14ac:dyDescent="0.25">
      <c r="B273" s="7"/>
      <c r="C273" s="10"/>
      <c r="D273" s="10"/>
      <c r="E273" s="17"/>
      <c r="F273" s="17"/>
      <c r="G273" s="17"/>
      <c r="H273" s="17"/>
      <c r="I273" s="17"/>
      <c r="J273" s="11"/>
      <c r="K273" s="11"/>
      <c r="L273" s="11"/>
      <c r="M273" s="14" vm="41">
        <f ca="1"/>
        <v>45499</v>
      </c>
      <c r="N273" s="14" vm="42">
        <f ca="1"/>
        <v>27.18</v>
      </c>
      <c r="O273" s="14">
        <f t="shared" ca="1" si="0"/>
        <v>-3.6859606789235019E-3</v>
      </c>
    </row>
    <row r="274" spans="2:15" x14ac:dyDescent="0.25">
      <c r="B274" s="7"/>
      <c r="C274" s="10"/>
      <c r="D274" s="10"/>
      <c r="E274" s="17"/>
      <c r="F274" s="17"/>
      <c r="G274" s="17"/>
      <c r="H274" s="17"/>
      <c r="I274" s="17"/>
      <c r="J274" s="11"/>
      <c r="K274" s="11"/>
      <c r="L274" s="11"/>
      <c r="M274" s="14" vm="43">
        <f ca="1"/>
        <v>45502</v>
      </c>
      <c r="N274" s="14" vm="44">
        <f ca="1"/>
        <v>27.08</v>
      </c>
      <c r="O274" s="14">
        <f t="shared" ca="1" si="0"/>
        <v>-2.6568447678878813E-2</v>
      </c>
    </row>
    <row r="275" spans="2:15" x14ac:dyDescent="0.25">
      <c r="B275" s="7"/>
      <c r="C275" s="10"/>
      <c r="D275" s="10"/>
      <c r="E275" s="17"/>
      <c r="F275" s="17"/>
      <c r="G275" s="17"/>
      <c r="H275" s="17"/>
      <c r="I275" s="17"/>
      <c r="J275" s="11"/>
      <c r="K275" s="11"/>
      <c r="L275" s="11"/>
      <c r="M275" s="14" vm="45">
        <f ca="1"/>
        <v>45503</v>
      </c>
      <c r="N275" s="14" vm="46">
        <f ca="1"/>
        <v>26.37</v>
      </c>
      <c r="O275" s="14">
        <f t="shared" ca="1" si="0"/>
        <v>1.9527469915578025E-2</v>
      </c>
    </row>
    <row r="276" spans="2:15" x14ac:dyDescent="0.25">
      <c r="B276" s="7"/>
      <c r="C276" s="10"/>
      <c r="D276" s="10"/>
      <c r="E276" s="17"/>
      <c r="F276" s="17"/>
      <c r="G276" s="17"/>
      <c r="H276" s="17"/>
      <c r="I276" s="17"/>
      <c r="J276" s="11"/>
      <c r="K276" s="11"/>
      <c r="L276" s="11"/>
      <c r="M276" s="14" vm="47">
        <f ca="1"/>
        <v>45504</v>
      </c>
      <c r="N276" s="14" vm="48">
        <f ca="1"/>
        <v>26.89</v>
      </c>
      <c r="O276" s="14">
        <f t="shared" ca="1" si="0"/>
        <v>-3.0585733222321162E-2</v>
      </c>
    </row>
    <row r="277" spans="2:15" x14ac:dyDescent="0.25">
      <c r="B277" s="7"/>
      <c r="C277" s="10"/>
      <c r="D277" s="10"/>
      <c r="E277" s="17"/>
      <c r="F277" s="17"/>
      <c r="G277" s="17"/>
      <c r="H277" s="17"/>
      <c r="I277" s="17"/>
      <c r="J277" s="11"/>
      <c r="K277" s="11"/>
      <c r="L277" s="11"/>
      <c r="M277" s="14" vm="49">
        <f ca="1"/>
        <v>45505</v>
      </c>
      <c r="N277" s="14" vm="50">
        <f ca="1"/>
        <v>26.08</v>
      </c>
      <c r="O277" s="14">
        <f t="shared" ca="1" si="0"/>
        <v>-5.2747370094110339E-2</v>
      </c>
    </row>
    <row r="278" spans="2:15" x14ac:dyDescent="0.25">
      <c r="B278" s="7"/>
      <c r="C278" s="10"/>
      <c r="D278" s="10"/>
      <c r="E278" s="17"/>
      <c r="F278" s="17"/>
      <c r="G278" s="17"/>
      <c r="H278" s="17"/>
      <c r="I278" s="17"/>
      <c r="J278" s="11"/>
      <c r="K278" s="11"/>
      <c r="L278" s="11"/>
      <c r="M278" s="14" vm="51">
        <f ca="1"/>
        <v>45506</v>
      </c>
      <c r="N278" s="14" vm="52">
        <f ca="1"/>
        <v>24.74</v>
      </c>
      <c r="O278" s="14">
        <f t="shared" ca="1" si="0"/>
        <v>-2.6624550337561802E-2</v>
      </c>
    </row>
    <row r="279" spans="2:15" x14ac:dyDescent="0.25">
      <c r="B279" s="7"/>
      <c r="C279" s="10"/>
      <c r="D279" s="10"/>
      <c r="E279" s="17"/>
      <c r="F279" s="17"/>
      <c r="G279" s="17"/>
      <c r="H279" s="17"/>
      <c r="I279" s="17"/>
      <c r="J279" s="11"/>
      <c r="K279" s="11"/>
      <c r="L279" s="11"/>
      <c r="M279" s="14" vm="53">
        <f ca="1"/>
        <v>45509</v>
      </c>
      <c r="N279" s="14" vm="54">
        <f ca="1"/>
        <v>24.09</v>
      </c>
      <c r="O279" s="14">
        <f t="shared" ca="1" si="0"/>
        <v>9.8738388628148488E-2</v>
      </c>
    </row>
    <row r="280" spans="2:15" x14ac:dyDescent="0.25">
      <c r="B280" s="7"/>
      <c r="C280" s="10"/>
      <c r="D280" s="10"/>
      <c r="E280" s="17"/>
      <c r="F280" s="17"/>
      <c r="G280" s="17"/>
      <c r="H280" s="17"/>
      <c r="I280" s="17"/>
      <c r="J280" s="11"/>
      <c r="K280" s="11"/>
      <c r="L280" s="11"/>
      <c r="M280" s="14" vm="55">
        <f ca="1"/>
        <v>45510</v>
      </c>
      <c r="N280" s="14" vm="56">
        <f ca="1"/>
        <v>26.59</v>
      </c>
      <c r="O280" s="14">
        <f t="shared" ca="1" si="0"/>
        <v>-1.0206098797812016E-2</v>
      </c>
    </row>
    <row r="281" spans="2:15" x14ac:dyDescent="0.25">
      <c r="B281" s="7"/>
      <c r="C281" s="10"/>
      <c r="D281" s="10"/>
      <c r="E281" s="17"/>
      <c r="F281" s="17"/>
      <c r="G281" s="17"/>
      <c r="H281" s="17"/>
      <c r="I281" s="17"/>
      <c r="J281" s="11"/>
      <c r="K281" s="11"/>
      <c r="L281" s="11"/>
      <c r="M281" s="14" vm="57">
        <f ca="1"/>
        <v>45511</v>
      </c>
      <c r="N281" s="14" vm="58">
        <f ca="1"/>
        <v>26.32</v>
      </c>
      <c r="O281" s="14">
        <f t="shared" ca="1" si="0"/>
        <v>0.10657558263599434</v>
      </c>
    </row>
    <row r="282" spans="2:15" x14ac:dyDescent="0.25">
      <c r="B282" s="7"/>
      <c r="C282" s="10"/>
      <c r="D282" s="10"/>
      <c r="E282" s="17"/>
      <c r="F282" s="17"/>
      <c r="G282" s="17"/>
      <c r="H282" s="17"/>
      <c r="I282" s="17"/>
      <c r="J282" s="11"/>
      <c r="K282" s="11"/>
      <c r="L282" s="11"/>
      <c r="M282" s="14" vm="59">
        <f ca="1"/>
        <v>45512</v>
      </c>
      <c r="N282" s="14" vm="60">
        <f ca="1"/>
        <v>29.28</v>
      </c>
      <c r="O282" s="14">
        <f t="shared" ca="1" si="0"/>
        <v>2.4625970359165032E-2</v>
      </c>
    </row>
    <row r="283" spans="2:15" x14ac:dyDescent="0.25">
      <c r="B283" s="7"/>
      <c r="C283" s="10"/>
      <c r="D283" s="10"/>
      <c r="E283" s="17"/>
      <c r="F283" s="17"/>
      <c r="G283" s="17"/>
      <c r="H283" s="17"/>
      <c r="I283" s="17"/>
      <c r="J283" s="11"/>
      <c r="K283" s="11"/>
      <c r="L283" s="11"/>
      <c r="M283" s="14" vm="61">
        <f ca="1"/>
        <v>45513</v>
      </c>
      <c r="N283" s="14" vm="62">
        <f ca="1"/>
        <v>30.01</v>
      </c>
      <c r="O283" s="14">
        <f t="shared" ca="1" si="0"/>
        <v>-2.121648870654454E-2</v>
      </c>
    </row>
    <row r="284" spans="2:15" x14ac:dyDescent="0.25">
      <c r="B284" s="7"/>
      <c r="C284" s="10"/>
      <c r="D284" s="10"/>
      <c r="E284" s="17"/>
      <c r="F284" s="17"/>
      <c r="G284" s="17"/>
      <c r="H284" s="17"/>
      <c r="I284" s="17"/>
      <c r="J284" s="11"/>
      <c r="K284" s="11"/>
      <c r="L284" s="11"/>
      <c r="M284" s="14" vm="63">
        <f ca="1"/>
        <v>45516</v>
      </c>
      <c r="N284" s="14" vm="64">
        <f ca="1"/>
        <v>29.38</v>
      </c>
      <c r="O284" s="14">
        <f t="shared" ca="1" si="0"/>
        <v>3.3799436182970502E-2</v>
      </c>
    </row>
    <row r="285" spans="2:15" x14ac:dyDescent="0.25">
      <c r="B285" s="7"/>
      <c r="C285" s="10"/>
      <c r="D285" s="10"/>
      <c r="E285" s="17"/>
      <c r="F285" s="17"/>
      <c r="G285" s="17"/>
      <c r="H285" s="17"/>
      <c r="I285" s="17"/>
      <c r="J285" s="11"/>
      <c r="K285" s="11"/>
      <c r="L285" s="11"/>
      <c r="M285" s="14" vm="65">
        <f ca="1"/>
        <v>45517</v>
      </c>
      <c r="N285" s="14" vm="66">
        <f ca="1"/>
        <v>30.39</v>
      </c>
      <c r="O285" s="14">
        <f t="shared" ca="1" si="0"/>
        <v>1.9873597556444533E-2</v>
      </c>
    </row>
    <row r="286" spans="2:15" x14ac:dyDescent="0.25">
      <c r="B286" s="7"/>
      <c r="C286" s="10"/>
      <c r="D286" s="10"/>
      <c r="E286" s="17"/>
      <c r="F286" s="17"/>
      <c r="G286" s="17"/>
      <c r="H286" s="17"/>
      <c r="I286" s="17"/>
      <c r="J286" s="11"/>
      <c r="K286" s="11"/>
      <c r="L286" s="11"/>
      <c r="M286" s="14" vm="67">
        <f ca="1"/>
        <v>45518</v>
      </c>
      <c r="N286" s="14" vm="68">
        <f ca="1"/>
        <v>31</v>
      </c>
      <c r="O286" s="14">
        <f t="shared" ca="1" si="0"/>
        <v>7.0717106021397445E-3</v>
      </c>
    </row>
    <row r="287" spans="2:15" x14ac:dyDescent="0.25">
      <c r="B287" s="7"/>
      <c r="C287" s="10"/>
      <c r="D287" s="10"/>
      <c r="E287" s="17"/>
      <c r="F287" s="17"/>
      <c r="G287" s="17"/>
      <c r="H287" s="17"/>
      <c r="I287" s="17"/>
      <c r="J287" s="11"/>
      <c r="K287" s="11"/>
      <c r="L287" s="11"/>
      <c r="M287" s="14" vm="69">
        <f ca="1"/>
        <v>45519</v>
      </c>
      <c r="N287" s="14" vm="70">
        <f ca="1"/>
        <v>31.22</v>
      </c>
      <c r="O287" s="14">
        <f t="shared" ca="1" si="0"/>
        <v>2.7173867911027633E-2</v>
      </c>
    </row>
    <row r="288" spans="2:15" x14ac:dyDescent="0.25">
      <c r="B288" s="7"/>
      <c r="C288" s="10"/>
      <c r="D288" s="10"/>
      <c r="E288" s="17"/>
      <c r="F288" s="17"/>
      <c r="G288" s="17"/>
      <c r="H288" s="17"/>
      <c r="I288" s="17"/>
      <c r="J288" s="11"/>
      <c r="K288" s="11"/>
      <c r="L288" s="11"/>
      <c r="M288" s="14" vm="71">
        <f ca="1"/>
        <v>45520</v>
      </c>
      <c r="N288" s="14" vm="72">
        <f ca="1"/>
        <v>32.08</v>
      </c>
      <c r="O288" s="14">
        <f t="shared" ca="1" si="0"/>
        <v>1.3007306337378045E-2</v>
      </c>
    </row>
    <row r="289" spans="2:15" x14ac:dyDescent="0.25">
      <c r="B289" s="7"/>
      <c r="C289" s="10"/>
      <c r="D289" s="10"/>
      <c r="E289" s="17"/>
      <c r="F289" s="17"/>
      <c r="G289" s="17"/>
      <c r="H289" s="17"/>
      <c r="I289" s="17"/>
      <c r="J289" s="11"/>
      <c r="K289" s="11"/>
      <c r="L289" s="11"/>
      <c r="M289" s="14" vm="73">
        <f ca="1"/>
        <v>45523</v>
      </c>
      <c r="N289" s="14" vm="74">
        <f ca="1"/>
        <v>32.5</v>
      </c>
      <c r="O289" s="14">
        <f t="shared" ca="1" si="0"/>
        <v>-5.5538556827971243E-3</v>
      </c>
    </row>
    <row r="290" spans="2:15" x14ac:dyDescent="0.25">
      <c r="B290" s="7"/>
      <c r="C290" s="10"/>
      <c r="D290" s="10"/>
      <c r="E290" s="17"/>
      <c r="F290" s="17"/>
      <c r="G290" s="17"/>
      <c r="H290" s="17"/>
      <c r="I290" s="17"/>
      <c r="J290" s="11"/>
      <c r="K290" s="11"/>
      <c r="L290" s="11"/>
      <c r="M290" s="14" vm="75">
        <f ca="1"/>
        <v>45524</v>
      </c>
      <c r="N290" s="14" vm="76">
        <f ca="1"/>
        <v>32.32</v>
      </c>
      <c r="O290" s="14">
        <f t="shared" ca="1" si="0"/>
        <v>6.7838681379971712E-3</v>
      </c>
    </row>
    <row r="291" spans="2:15" x14ac:dyDescent="0.25">
      <c r="B291" s="7"/>
      <c r="C291" s="10"/>
      <c r="D291" s="10"/>
      <c r="E291" s="17"/>
      <c r="F291" s="17"/>
      <c r="G291" s="17"/>
      <c r="H291" s="17"/>
      <c r="I291" s="17"/>
      <c r="J291" s="11"/>
      <c r="K291" s="11"/>
      <c r="L291" s="11"/>
      <c r="M291" s="14" vm="77">
        <f ca="1"/>
        <v>45525</v>
      </c>
      <c r="N291" s="14" vm="78">
        <f ca="1"/>
        <v>32.54</v>
      </c>
      <c r="O291" s="14">
        <f t="shared" ca="1" si="0"/>
        <v>-1.9237329209283616E-2</v>
      </c>
    </row>
    <row r="292" spans="2:15" x14ac:dyDescent="0.25">
      <c r="B292" s="7"/>
      <c r="C292" s="10"/>
      <c r="D292" s="10"/>
      <c r="E292" s="17"/>
      <c r="F292" s="17"/>
      <c r="G292" s="17"/>
      <c r="H292" s="17"/>
      <c r="I292" s="17"/>
      <c r="J292" s="11"/>
      <c r="K292" s="11"/>
      <c r="L292" s="11"/>
      <c r="M292" s="14" vm="79">
        <f ca="1"/>
        <v>45526</v>
      </c>
      <c r="N292" s="14" vm="80">
        <f ca="1"/>
        <v>31.92</v>
      </c>
      <c r="O292" s="14">
        <f t="shared" ca="1" si="0"/>
        <v>-4.3956114730381093E-3</v>
      </c>
    </row>
    <row r="293" spans="2:15" x14ac:dyDescent="0.25">
      <c r="B293" s="7"/>
      <c r="C293" s="10"/>
      <c r="D293" s="10"/>
      <c r="E293" s="17"/>
      <c r="F293" s="17"/>
      <c r="G293" s="17"/>
      <c r="H293" s="17"/>
      <c r="I293" s="17"/>
      <c r="J293" s="11"/>
      <c r="K293" s="11"/>
      <c r="L293" s="11"/>
      <c r="M293" s="14" vm="81">
        <f ca="1"/>
        <v>45527</v>
      </c>
      <c r="N293" s="14" vm="82">
        <f ca="1"/>
        <v>31.78</v>
      </c>
      <c r="O293" s="14">
        <f t="shared" ca="1" si="0"/>
        <v>-2.9700410757173123E-2</v>
      </c>
    </row>
    <row r="294" spans="2:15" x14ac:dyDescent="0.25">
      <c r="B294" s="7"/>
      <c r="C294" s="10"/>
      <c r="D294" s="10"/>
      <c r="E294" s="17"/>
      <c r="F294" s="17"/>
      <c r="G294" s="17"/>
      <c r="H294" s="17"/>
      <c r="I294" s="17"/>
      <c r="J294" s="11"/>
      <c r="K294" s="11"/>
      <c r="L294" s="11"/>
      <c r="M294" s="14" vm="83">
        <f ca="1"/>
        <v>45530</v>
      </c>
      <c r="N294" s="14" vm="84">
        <f ca="1"/>
        <v>30.85</v>
      </c>
      <c r="O294" s="14">
        <f t="shared" ca="1" si="0"/>
        <v>-3.2420165626815032E-4</v>
      </c>
    </row>
    <row r="295" spans="2:15" x14ac:dyDescent="0.25">
      <c r="B295" s="7"/>
      <c r="C295" s="10"/>
      <c r="D295" s="10"/>
      <c r="E295" s="17"/>
      <c r="F295" s="17"/>
      <c r="G295" s="17"/>
      <c r="H295" s="17"/>
      <c r="I295" s="17"/>
      <c r="J295" s="11"/>
      <c r="K295" s="11"/>
      <c r="L295" s="11"/>
      <c r="M295" s="14" vm="85">
        <f ca="1"/>
        <v>45531</v>
      </c>
      <c r="N295" s="14" vm="86">
        <f ca="1"/>
        <v>30.84</v>
      </c>
      <c r="O295" s="14">
        <f t="shared" ca="1" si="0"/>
        <v>-1.5686596167699619E-2</v>
      </c>
    </row>
    <row r="296" spans="2:15" x14ac:dyDescent="0.25">
      <c r="B296" s="7"/>
      <c r="C296" s="10"/>
      <c r="D296" s="10"/>
      <c r="E296" s="17"/>
      <c r="F296" s="17"/>
      <c r="G296" s="17"/>
      <c r="H296" s="17"/>
      <c r="I296" s="17"/>
      <c r="J296" s="11"/>
      <c r="K296" s="11"/>
      <c r="L296" s="11"/>
      <c r="M296" s="14" vm="87">
        <f ca="1"/>
        <v>45532</v>
      </c>
      <c r="N296" s="14" vm="88">
        <f ca="1"/>
        <v>30.36</v>
      </c>
      <c r="O296" s="14">
        <f t="shared" ca="1" si="0"/>
        <v>2.0861251957717021E-2</v>
      </c>
    </row>
    <row r="297" spans="2:15" x14ac:dyDescent="0.25">
      <c r="B297" s="7"/>
      <c r="C297" s="10"/>
      <c r="D297" s="10"/>
      <c r="E297" s="17"/>
      <c r="F297" s="17"/>
      <c r="G297" s="17"/>
      <c r="H297" s="17"/>
      <c r="I297" s="17"/>
      <c r="J297" s="11"/>
      <c r="K297" s="11"/>
      <c r="L297" s="11"/>
      <c r="M297" s="14" vm="89">
        <f ca="1"/>
        <v>45533</v>
      </c>
      <c r="N297" s="14" vm="68">
        <f ca="1"/>
        <v>31</v>
      </c>
      <c r="O297" s="14">
        <f t="shared" ca="1" si="0"/>
        <v>1.536521906405614E-2</v>
      </c>
    </row>
    <row r="298" spans="2:15" x14ac:dyDescent="0.25">
      <c r="B298" s="7"/>
      <c r="C298" s="10"/>
      <c r="D298" s="10"/>
      <c r="E298" s="17"/>
      <c r="F298" s="17"/>
      <c r="G298" s="17"/>
      <c r="H298" s="17"/>
      <c r="I298" s="17"/>
      <c r="J298" s="11"/>
      <c r="K298" s="11"/>
      <c r="L298" s="11"/>
      <c r="M298" s="14" vm="90">
        <f ca="1"/>
        <v>45534</v>
      </c>
      <c r="N298" s="14" vm="91">
        <f ca="1"/>
        <v>31.48</v>
      </c>
      <c r="O298" s="14">
        <f t="shared" ca="1" si="0"/>
        <v>-3.1297924820624198E-2</v>
      </c>
    </row>
    <row r="299" spans="2:15" x14ac:dyDescent="0.25">
      <c r="B299" s="7"/>
      <c r="C299" s="10"/>
      <c r="D299" s="10"/>
      <c r="E299" s="17"/>
      <c r="F299" s="17"/>
      <c r="G299" s="17"/>
      <c r="H299" s="17"/>
      <c r="I299" s="17"/>
      <c r="J299" s="11"/>
      <c r="K299" s="11"/>
      <c r="L299" s="11"/>
      <c r="M299" s="14" vm="92">
        <f ca="1"/>
        <v>45538</v>
      </c>
      <c r="N299" s="14" vm="93">
        <f ca="1"/>
        <v>30.51</v>
      </c>
      <c r="O299" s="14">
        <f t="shared" ca="1" si="0"/>
        <v>2.6186594342336778E-3</v>
      </c>
    </row>
    <row r="300" spans="2:15" x14ac:dyDescent="0.25">
      <c r="B300" s="7"/>
      <c r="C300" s="10"/>
      <c r="D300" s="10"/>
      <c r="E300" s="17"/>
      <c r="F300" s="17"/>
      <c r="G300" s="17"/>
      <c r="H300" s="17"/>
      <c r="I300" s="17"/>
      <c r="J300" s="11"/>
      <c r="K300" s="11"/>
      <c r="L300" s="11"/>
      <c r="M300" s="14" vm="94">
        <f ca="1"/>
        <v>45539</v>
      </c>
      <c r="N300" s="14" vm="95">
        <f ca="1"/>
        <v>30.59</v>
      </c>
      <c r="O300" s="14">
        <f t="shared" ca="1" si="0"/>
        <v>-1.4156615023056703E-2</v>
      </c>
    </row>
    <row r="301" spans="2:15" x14ac:dyDescent="0.25">
      <c r="B301" s="7"/>
      <c r="C301" s="10"/>
      <c r="D301" s="10"/>
      <c r="E301" s="17"/>
      <c r="F301" s="17"/>
      <c r="G301" s="17"/>
      <c r="H301" s="17"/>
      <c r="I301" s="17"/>
      <c r="J301" s="11"/>
      <c r="K301" s="11"/>
      <c r="L301" s="11"/>
      <c r="M301" s="14" vm="96">
        <f ca="1"/>
        <v>45540</v>
      </c>
      <c r="N301" s="14" vm="97">
        <f ca="1"/>
        <v>30.16</v>
      </c>
      <c r="O301" s="14">
        <f t="shared" ca="1" si="0"/>
        <v>5.6207785607343651E-3</v>
      </c>
    </row>
    <row r="302" spans="2:15" x14ac:dyDescent="0.25">
      <c r="B302" s="7"/>
      <c r="C302" s="10"/>
      <c r="D302" s="10"/>
      <c r="E302" s="17"/>
      <c r="F302" s="17"/>
      <c r="G302" s="17"/>
      <c r="H302" s="17"/>
      <c r="I302" s="17"/>
      <c r="J302" s="11"/>
      <c r="K302" s="11"/>
      <c r="L302" s="11"/>
      <c r="M302" s="14" vm="98">
        <f ca="1"/>
        <v>45541</v>
      </c>
      <c r="N302" s="14" vm="99">
        <f ca="1"/>
        <v>30.33</v>
      </c>
      <c r="O302" s="14">
        <f t="shared" ca="1" si="0"/>
        <v>0.13171636036318898</v>
      </c>
    </row>
    <row r="303" spans="2:15" x14ac:dyDescent="0.25">
      <c r="B303" s="7"/>
      <c r="C303" s="10"/>
      <c r="D303" s="10"/>
      <c r="E303" s="17"/>
      <c r="F303" s="17"/>
      <c r="G303" s="17"/>
      <c r="H303" s="17"/>
      <c r="I303" s="17"/>
      <c r="J303" s="11"/>
      <c r="K303" s="11"/>
      <c r="L303" s="11"/>
      <c r="M303" s="14" vm="100">
        <f ca="1"/>
        <v>45544</v>
      </c>
      <c r="N303" s="14" vm="101">
        <f ca="1"/>
        <v>34.6</v>
      </c>
      <c r="O303" s="14">
        <f t="shared" ca="1" si="0"/>
        <v>4.6136183335127147E-3</v>
      </c>
    </row>
    <row r="304" spans="2:15" x14ac:dyDescent="0.25">
      <c r="B304" s="7"/>
      <c r="C304" s="10"/>
      <c r="D304" s="10"/>
      <c r="E304" s="17"/>
      <c r="F304" s="17"/>
      <c r="G304" s="17"/>
      <c r="H304" s="17"/>
      <c r="I304" s="17"/>
      <c r="J304" s="11"/>
      <c r="K304" s="11"/>
      <c r="L304" s="11"/>
      <c r="M304" s="14" vm="102">
        <f ca="1"/>
        <v>45545</v>
      </c>
      <c r="N304" s="14" vm="103">
        <f ca="1"/>
        <v>34.76</v>
      </c>
      <c r="O304" s="14">
        <f t="shared" ca="1" si="0"/>
        <v>2.5858368093417562E-3</v>
      </c>
    </row>
    <row r="305" spans="2:15" x14ac:dyDescent="0.25">
      <c r="B305" s="7"/>
      <c r="C305" s="10"/>
      <c r="D305" s="10"/>
      <c r="E305" s="17"/>
      <c r="F305" s="17"/>
      <c r="G305" s="17"/>
      <c r="H305" s="17"/>
      <c r="I305" s="17"/>
      <c r="J305" s="11"/>
      <c r="K305" s="11"/>
      <c r="L305" s="11"/>
      <c r="M305" s="14" vm="104">
        <f ca="1"/>
        <v>45546</v>
      </c>
      <c r="N305" s="14" vm="105">
        <f ca="1"/>
        <v>34.85</v>
      </c>
      <c r="O305" s="14">
        <f t="shared" ca="1" si="0"/>
        <v>1.7201839104115414E-3</v>
      </c>
    </row>
    <row r="306" spans="2:15" x14ac:dyDescent="0.25">
      <c r="B306" s="7"/>
      <c r="C306" s="10"/>
      <c r="D306" s="10"/>
      <c r="E306" s="17"/>
      <c r="F306" s="17"/>
      <c r="G306" s="17"/>
      <c r="H306" s="17"/>
      <c r="I306" s="17"/>
      <c r="J306" s="11"/>
      <c r="K306" s="11"/>
      <c r="L306" s="11"/>
      <c r="M306" s="14" vm="106">
        <f ca="1"/>
        <v>45547</v>
      </c>
      <c r="N306" s="14" vm="107">
        <f ca="1"/>
        <v>34.909999999999997</v>
      </c>
      <c r="O306" s="14">
        <f t="shared" ca="1" si="0"/>
        <v>1.9291378405156885E-2</v>
      </c>
    </row>
    <row r="307" spans="2:15" x14ac:dyDescent="0.25">
      <c r="B307" s="7"/>
      <c r="C307" s="10"/>
      <c r="D307" s="10"/>
      <c r="E307" s="17"/>
      <c r="F307" s="17"/>
      <c r="G307" s="17"/>
      <c r="H307" s="17"/>
      <c r="I307" s="17"/>
      <c r="J307" s="11"/>
      <c r="K307" s="11"/>
      <c r="L307" s="11"/>
      <c r="M307" s="14" vm="108">
        <f ca="1"/>
        <v>45548</v>
      </c>
      <c r="N307" s="14" vm="109">
        <f ca="1"/>
        <v>35.590000000000003</v>
      </c>
      <c r="O307" s="14">
        <f t="shared" ca="1" si="0"/>
        <v>2.0028485904143141E-2</v>
      </c>
    </row>
    <row r="308" spans="2:15" x14ac:dyDescent="0.25">
      <c r="B308" s="7"/>
      <c r="C308" s="10"/>
      <c r="D308" s="10"/>
      <c r="E308" s="17"/>
      <c r="F308" s="17"/>
      <c r="G308" s="17"/>
      <c r="H308" s="17"/>
      <c r="I308" s="17"/>
      <c r="J308" s="11"/>
      <c r="K308" s="11"/>
      <c r="L308" s="11"/>
      <c r="M308" s="14" vm="110">
        <f ca="1"/>
        <v>45551</v>
      </c>
      <c r="N308" s="14" vm="111">
        <f ca="1"/>
        <v>36.31</v>
      </c>
      <c r="O308" s="14">
        <f t="shared" ca="1" si="0"/>
        <v>3.8482730284227582E-3</v>
      </c>
    </row>
    <row r="309" spans="2:15" x14ac:dyDescent="0.25">
      <c r="B309" s="7"/>
      <c r="C309" s="10"/>
      <c r="D309" s="10"/>
      <c r="E309" s="17"/>
      <c r="F309" s="17"/>
      <c r="G309" s="17"/>
      <c r="H309" s="17"/>
      <c r="I309" s="17"/>
      <c r="J309" s="11"/>
      <c r="K309" s="11"/>
      <c r="L309" s="11"/>
      <c r="M309" s="14" vm="112">
        <f ca="1"/>
        <v>45552</v>
      </c>
      <c r="N309" s="14" vm="113">
        <f ca="1"/>
        <v>36.450000000000003</v>
      </c>
      <c r="O309" s="14">
        <f t="shared" ca="1" si="0"/>
        <v>-1.9222853646909215E-3</v>
      </c>
    </row>
    <row r="310" spans="2:15" x14ac:dyDescent="0.25">
      <c r="B310" s="7"/>
      <c r="C310" s="10"/>
      <c r="D310" s="10"/>
      <c r="E310" s="17"/>
      <c r="F310" s="17"/>
      <c r="G310" s="17"/>
      <c r="H310" s="17"/>
      <c r="I310" s="17"/>
      <c r="J310" s="11"/>
      <c r="K310" s="11"/>
      <c r="L310" s="11"/>
      <c r="M310" s="14" vm="114">
        <f ca="1"/>
        <v>45553</v>
      </c>
      <c r="N310" s="14" vm="115">
        <f ca="1"/>
        <v>36.380000000000003</v>
      </c>
      <c r="O310" s="14">
        <f t="shared" ca="1" si="0"/>
        <v>1.2293557366997549E-2</v>
      </c>
    </row>
    <row r="311" spans="2:15" x14ac:dyDescent="0.25">
      <c r="B311" s="7"/>
      <c r="C311" s="10"/>
      <c r="D311" s="10"/>
      <c r="E311" s="17"/>
      <c r="F311" s="17"/>
      <c r="G311" s="17"/>
      <c r="H311" s="17"/>
      <c r="I311" s="17"/>
      <c r="J311" s="11"/>
      <c r="K311" s="11"/>
      <c r="L311" s="11"/>
      <c r="M311" s="14" vm="116">
        <f ca="1"/>
        <v>45554</v>
      </c>
      <c r="N311" s="14" vm="117">
        <f ca="1"/>
        <v>36.83</v>
      </c>
      <c r="O311" s="14">
        <f t="shared" ca="1" si="0"/>
        <v>9.9960308221270361E-3</v>
      </c>
    </row>
    <row r="312" spans="2:15" x14ac:dyDescent="0.25">
      <c r="B312" s="7"/>
      <c r="C312" s="10"/>
      <c r="D312" s="10"/>
      <c r="E312" s="17"/>
      <c r="F312" s="17"/>
      <c r="G312" s="17"/>
      <c r="H312" s="17"/>
      <c r="I312" s="17"/>
      <c r="J312" s="11"/>
      <c r="K312" s="11"/>
      <c r="L312" s="11"/>
      <c r="M312" s="14" vm="118">
        <f ca="1"/>
        <v>45555</v>
      </c>
      <c r="N312" s="14" vm="119">
        <f ca="1"/>
        <v>37.200000000000003</v>
      </c>
      <c r="O312" s="14">
        <f t="shared" ca="1" si="0"/>
        <v>1.9960742562538152E-2</v>
      </c>
    </row>
    <row r="313" spans="2:15" x14ac:dyDescent="0.25">
      <c r="B313" s="7"/>
      <c r="C313" s="10"/>
      <c r="D313" s="10"/>
      <c r="E313" s="17"/>
      <c r="F313" s="17"/>
      <c r="G313" s="17"/>
      <c r="H313" s="17"/>
      <c r="I313" s="17"/>
      <c r="J313" s="11"/>
      <c r="K313" s="11"/>
      <c r="L313" s="11"/>
      <c r="M313" s="14" vm="120">
        <f ca="1"/>
        <v>45558</v>
      </c>
      <c r="N313" s="14" vm="121">
        <f ca="1"/>
        <v>37.950000000000003</v>
      </c>
      <c r="O313" s="14">
        <f t="shared" ca="1" si="0"/>
        <v>-2.8057952795157496E-2</v>
      </c>
    </row>
    <row r="314" spans="2:15" x14ac:dyDescent="0.25">
      <c r="B314" s="7"/>
      <c r="C314" s="10"/>
      <c r="D314" s="10"/>
      <c r="E314" s="17"/>
      <c r="F314" s="17"/>
      <c r="G314" s="17"/>
      <c r="H314" s="17"/>
      <c r="I314" s="17"/>
      <c r="J314" s="11"/>
      <c r="K314" s="11"/>
      <c r="L314" s="11"/>
      <c r="M314" s="14" vm="122">
        <f ca="1"/>
        <v>45559</v>
      </c>
      <c r="N314" s="14" vm="123">
        <f ca="1"/>
        <v>36.9</v>
      </c>
      <c r="O314" s="14">
        <f t="shared" ca="1" si="0"/>
        <v>5.944356871518377E-3</v>
      </c>
    </row>
    <row r="315" spans="2:15" x14ac:dyDescent="0.25">
      <c r="B315" s="7"/>
      <c r="C315" s="10"/>
      <c r="D315" s="10"/>
      <c r="E315" s="17"/>
      <c r="F315" s="17"/>
      <c r="G315" s="17"/>
      <c r="H315" s="17"/>
      <c r="I315" s="17"/>
      <c r="J315" s="11"/>
      <c r="K315" s="11"/>
      <c r="L315" s="11"/>
      <c r="M315" s="14" vm="124">
        <f ca="1"/>
        <v>45560</v>
      </c>
      <c r="N315" s="14" vm="125">
        <f ca="1"/>
        <v>37.119999999999997</v>
      </c>
      <c r="O315" s="14">
        <f t="shared" ca="1" si="0"/>
        <v>-5.3893830461027026E-4</v>
      </c>
    </row>
    <row r="316" spans="2:15" x14ac:dyDescent="0.25">
      <c r="B316" s="7"/>
      <c r="C316" s="10"/>
      <c r="D316" s="10"/>
      <c r="E316" s="17"/>
      <c r="F316" s="17"/>
      <c r="G316" s="17"/>
      <c r="H316" s="17"/>
      <c r="I316" s="17"/>
      <c r="J316" s="11"/>
      <c r="K316" s="11"/>
      <c r="L316" s="11"/>
      <c r="M316" s="14" vm="126">
        <f ca="1"/>
        <v>45561</v>
      </c>
      <c r="N316" s="14" vm="127">
        <f ca="1"/>
        <v>37.1</v>
      </c>
      <c r="O316" s="14">
        <f t="shared" ca="1" si="0"/>
        <v>-7.0327582262833263E-3</v>
      </c>
    </row>
    <row r="317" spans="2:15" x14ac:dyDescent="0.25">
      <c r="B317" s="7"/>
      <c r="C317" s="10"/>
      <c r="D317" s="10"/>
      <c r="E317" s="17"/>
      <c r="F317" s="17"/>
      <c r="G317" s="17"/>
      <c r="H317" s="17"/>
      <c r="I317" s="17"/>
      <c r="J317" s="11"/>
      <c r="K317" s="11"/>
      <c r="L317" s="11"/>
      <c r="M317" s="14" vm="128">
        <f ca="1"/>
        <v>45562</v>
      </c>
      <c r="N317" s="14" vm="129">
        <f ca="1"/>
        <v>36.840000000000003</v>
      </c>
      <c r="O317" s="14">
        <f t="shared" ca="1" si="0"/>
        <v>9.7245498919947809E-3</v>
      </c>
    </row>
    <row r="318" spans="2:15" x14ac:dyDescent="0.25">
      <c r="B318" s="7"/>
      <c r="C318" s="10"/>
      <c r="D318" s="10"/>
      <c r="E318" s="17"/>
      <c r="F318" s="17"/>
      <c r="G318" s="17"/>
      <c r="H318" s="17"/>
      <c r="I318" s="17"/>
      <c r="J318" s="11"/>
      <c r="K318" s="11"/>
      <c r="L318" s="11"/>
      <c r="M318" s="14" vm="130">
        <f ca="1"/>
        <v>45565</v>
      </c>
      <c r="N318" s="14" vm="119">
        <f ca="1"/>
        <v>37.200000000000003</v>
      </c>
      <c r="O318" s="14">
        <f t="shared" ref="O318:O381" ca="1" si="1">LN(N319/N318)</f>
        <v>-2.0092992028583896E-2</v>
      </c>
    </row>
    <row r="319" spans="2:15" x14ac:dyDescent="0.25">
      <c r="B319" s="7"/>
      <c r="C319" s="10"/>
      <c r="D319" s="10"/>
      <c r="E319" s="17"/>
      <c r="F319" s="17"/>
      <c r="G319" s="17"/>
      <c r="H319" s="17"/>
      <c r="I319" s="17"/>
      <c r="J319" s="11"/>
      <c r="K319" s="11"/>
      <c r="L319" s="11"/>
      <c r="M319" s="14" vm="131">
        <f ca="1"/>
        <v>45566</v>
      </c>
      <c r="N319" s="14" vm="132">
        <f ca="1"/>
        <v>36.46</v>
      </c>
      <c r="O319" s="14">
        <f t="shared" ca="1" si="1"/>
        <v>2.7858461497303609E-2</v>
      </c>
    </row>
    <row r="320" spans="2:15" x14ac:dyDescent="0.25">
      <c r="B320" s="7"/>
      <c r="C320" s="10"/>
      <c r="D320" s="10"/>
      <c r="E320" s="17"/>
      <c r="F320" s="17"/>
      <c r="G320" s="17"/>
      <c r="H320" s="17"/>
      <c r="I320" s="17"/>
      <c r="J320" s="11"/>
      <c r="K320" s="11"/>
      <c r="L320" s="11"/>
      <c r="M320" s="14" vm="133">
        <f ca="1"/>
        <v>45567</v>
      </c>
      <c r="N320" s="14" vm="134">
        <f ca="1"/>
        <v>37.49</v>
      </c>
      <c r="O320" s="14">
        <f t="shared" ca="1" si="1"/>
        <v>4.5622403949341632E-2</v>
      </c>
    </row>
    <row r="321" spans="2:15" x14ac:dyDescent="0.25">
      <c r="B321" s="7"/>
      <c r="C321" s="10"/>
      <c r="D321" s="10"/>
      <c r="E321" s="17"/>
      <c r="F321" s="17"/>
      <c r="G321" s="17"/>
      <c r="H321" s="17"/>
      <c r="I321" s="17"/>
      <c r="J321" s="11"/>
      <c r="K321" s="11"/>
      <c r="L321" s="11"/>
      <c r="M321" s="14" vm="135">
        <f ca="1"/>
        <v>45568</v>
      </c>
      <c r="N321" s="14" vm="136">
        <f ca="1"/>
        <v>39.24</v>
      </c>
      <c r="O321" s="14">
        <f t="shared" ca="1" si="1"/>
        <v>1.9432788171981324E-2</v>
      </c>
    </row>
    <row r="322" spans="2:15" x14ac:dyDescent="0.25">
      <c r="B322" s="7"/>
      <c r="C322" s="10"/>
      <c r="D322" s="10"/>
      <c r="E322" s="17"/>
      <c r="F322" s="17"/>
      <c r="G322" s="17"/>
      <c r="H322" s="17"/>
      <c r="I322" s="17"/>
      <c r="J322" s="11"/>
      <c r="K322" s="11"/>
      <c r="L322" s="11"/>
      <c r="M322" s="14" vm="137">
        <f ca="1"/>
        <v>45569</v>
      </c>
      <c r="N322" s="14" vm="138">
        <f ca="1"/>
        <v>40.01</v>
      </c>
      <c r="O322" s="14">
        <f t="shared" ca="1" si="1"/>
        <v>-2.8392274701487672E-2</v>
      </c>
    </row>
    <row r="323" spans="2:15" x14ac:dyDescent="0.25">
      <c r="B323" s="7"/>
      <c r="C323" s="10"/>
      <c r="D323" s="10"/>
      <c r="E323" s="17"/>
      <c r="F323" s="17"/>
      <c r="G323" s="17"/>
      <c r="H323" s="17"/>
      <c r="I323" s="17"/>
      <c r="J323" s="11"/>
      <c r="K323" s="11"/>
      <c r="L323" s="11"/>
      <c r="M323" s="14" vm="139">
        <f ca="1"/>
        <v>45572</v>
      </c>
      <c r="N323" s="14" vm="140">
        <f ca="1"/>
        <v>38.89</v>
      </c>
      <c r="O323" s="14">
        <f t="shared" ca="1" si="1"/>
        <v>6.3750733413648106E-2</v>
      </c>
    </row>
    <row r="324" spans="2:15" x14ac:dyDescent="0.25">
      <c r="B324" s="7"/>
      <c r="C324" s="10"/>
      <c r="D324" s="10"/>
      <c r="E324" s="17"/>
      <c r="F324" s="17"/>
      <c r="G324" s="17"/>
      <c r="H324" s="17"/>
      <c r="I324" s="17"/>
      <c r="J324" s="11"/>
      <c r="K324" s="11"/>
      <c r="L324" s="11"/>
      <c r="M324" s="14" vm="141">
        <f ca="1"/>
        <v>45573</v>
      </c>
      <c r="N324" s="14" vm="142">
        <f ca="1"/>
        <v>41.45</v>
      </c>
      <c r="O324" s="14">
        <f t="shared" ca="1" si="1"/>
        <v>3.9730929078447733E-2</v>
      </c>
    </row>
    <row r="325" spans="2:15" x14ac:dyDescent="0.25">
      <c r="B325" s="7"/>
      <c r="C325" s="10"/>
      <c r="D325" s="10"/>
      <c r="E325" s="17"/>
      <c r="F325" s="17"/>
      <c r="G325" s="17"/>
      <c r="H325" s="17"/>
      <c r="I325" s="17"/>
      <c r="J325" s="11"/>
      <c r="K325" s="11"/>
      <c r="L325" s="11"/>
      <c r="M325" s="14" vm="143">
        <f ca="1"/>
        <v>45574</v>
      </c>
      <c r="N325" s="14" vm="144">
        <f ca="1"/>
        <v>43.13</v>
      </c>
      <c r="O325" s="14">
        <f t="shared" ca="1" si="1"/>
        <v>9.0017918879355136E-3</v>
      </c>
    </row>
    <row r="326" spans="2:15" x14ac:dyDescent="0.25">
      <c r="B326" s="7"/>
      <c r="C326" s="10"/>
      <c r="D326" s="10"/>
      <c r="E326" s="17"/>
      <c r="F326" s="17"/>
      <c r="G326" s="17"/>
      <c r="H326" s="17"/>
      <c r="I326" s="17"/>
      <c r="J326" s="11"/>
      <c r="K326" s="11"/>
      <c r="L326" s="11"/>
      <c r="M326" s="14" vm="145">
        <f ca="1"/>
        <v>45575</v>
      </c>
      <c r="N326" s="14" vm="146">
        <f ca="1"/>
        <v>43.52</v>
      </c>
      <c r="O326" s="14">
        <f t="shared" ca="1" si="1"/>
        <v>-2.2980581509857124E-4</v>
      </c>
    </row>
    <row r="327" spans="2:15" x14ac:dyDescent="0.25">
      <c r="B327" s="7"/>
      <c r="C327" s="10"/>
      <c r="D327" s="10"/>
      <c r="E327" s="17"/>
      <c r="F327" s="17"/>
      <c r="G327" s="17"/>
      <c r="H327" s="17"/>
      <c r="I327" s="17"/>
      <c r="J327" s="11"/>
      <c r="K327" s="11"/>
      <c r="L327" s="11"/>
      <c r="M327" s="14" vm="147">
        <f ca="1"/>
        <v>45576</v>
      </c>
      <c r="N327" s="14" vm="148">
        <f ca="1"/>
        <v>43.51</v>
      </c>
      <c r="O327" s="14">
        <f t="shared" ca="1" si="1"/>
        <v>-2.5313556262295759E-3</v>
      </c>
    </row>
    <row r="328" spans="2:15" x14ac:dyDescent="0.25">
      <c r="C328" s="10"/>
      <c r="D328" s="10"/>
      <c r="E328" s="17"/>
      <c r="F328" s="17"/>
      <c r="G328" s="17"/>
      <c r="H328" s="17"/>
      <c r="I328" s="17"/>
      <c r="J328" s="11"/>
      <c r="K328" s="11"/>
      <c r="L328" s="11"/>
      <c r="M328" s="14" vm="149">
        <f ca="1"/>
        <v>45579</v>
      </c>
      <c r="N328" s="14" vm="150">
        <f ca="1"/>
        <v>43.4</v>
      </c>
      <c r="O328" s="14">
        <f t="shared" ca="1" si="1"/>
        <v>-2.260378189212563E-2</v>
      </c>
    </row>
    <row r="329" spans="2:15" x14ac:dyDescent="0.25">
      <c r="C329" s="10"/>
      <c r="D329" s="10"/>
      <c r="E329" s="17"/>
      <c r="F329" s="17"/>
      <c r="G329" s="17"/>
      <c r="H329" s="17"/>
      <c r="I329" s="17"/>
      <c r="J329" s="11"/>
      <c r="K329" s="11"/>
      <c r="L329" s="11"/>
      <c r="M329" s="14" vm="151">
        <f ca="1"/>
        <v>45580</v>
      </c>
      <c r="N329" s="14" vm="152">
        <f ca="1"/>
        <v>42.43</v>
      </c>
      <c r="O329" s="14">
        <f t="shared" ca="1" si="1"/>
        <v>-1.1854098031562177E-2</v>
      </c>
    </row>
    <row r="330" spans="2:15" x14ac:dyDescent="0.25">
      <c r="C330" s="10"/>
      <c r="D330" s="10"/>
      <c r="E330" s="17"/>
      <c r="F330" s="17"/>
      <c r="G330" s="17"/>
      <c r="H330" s="17"/>
      <c r="I330" s="17"/>
      <c r="J330" s="11"/>
      <c r="K330" s="11"/>
      <c r="L330" s="11"/>
      <c r="M330" s="14" vm="153">
        <f ca="1"/>
        <v>45581</v>
      </c>
      <c r="N330" s="14" vm="154">
        <f ca="1"/>
        <v>41.93</v>
      </c>
      <c r="O330" s="14">
        <f t="shared" ca="1" si="1"/>
        <v>1.6680571006970134E-3</v>
      </c>
    </row>
    <row r="331" spans="2:15" x14ac:dyDescent="0.25">
      <c r="C331" s="10"/>
      <c r="D331" s="10"/>
      <c r="E331" s="17"/>
      <c r="F331" s="17"/>
      <c r="G331" s="17"/>
      <c r="H331" s="17"/>
      <c r="I331" s="17"/>
      <c r="J331" s="11"/>
      <c r="K331" s="11"/>
      <c r="L331" s="11"/>
      <c r="M331" s="14" vm="155">
        <f ca="1"/>
        <v>45582</v>
      </c>
      <c r="N331" s="14" vm="156">
        <f ca="1"/>
        <v>42</v>
      </c>
      <c r="O331" s="14">
        <f t="shared" ca="1" si="1"/>
        <v>2.2832579503535396E-2</v>
      </c>
    </row>
    <row r="332" spans="2:15" x14ac:dyDescent="0.25">
      <c r="C332" s="10"/>
      <c r="D332" s="10"/>
      <c r="E332" s="17"/>
      <c r="F332" s="17"/>
      <c r="G332" s="17"/>
      <c r="H332" s="17"/>
      <c r="I332" s="17"/>
      <c r="J332" s="11"/>
      <c r="K332" s="11"/>
      <c r="L332" s="11"/>
      <c r="M332" s="14" vm="157">
        <f ca="1"/>
        <v>45583</v>
      </c>
      <c r="N332" s="14" vm="158">
        <f ca="1"/>
        <v>42.97</v>
      </c>
      <c r="O332" s="14">
        <f t="shared" ca="1" si="1"/>
        <v>-6.3032775523248329E-3</v>
      </c>
    </row>
    <row r="333" spans="2:15" x14ac:dyDescent="0.25">
      <c r="C333" s="10"/>
      <c r="D333" s="10"/>
      <c r="E333" s="17"/>
      <c r="F333" s="17"/>
      <c r="G333" s="17"/>
      <c r="H333" s="17"/>
      <c r="I333" s="17"/>
      <c r="J333" s="11"/>
      <c r="K333" s="11"/>
      <c r="L333" s="11"/>
      <c r="M333" s="14" vm="159">
        <f ca="1"/>
        <v>45586</v>
      </c>
      <c r="N333" s="14" vm="160">
        <f ca="1"/>
        <v>42.7</v>
      </c>
      <c r="O333" s="14">
        <f t="shared" ca="1" si="1"/>
        <v>5.6048722160560623E-3</v>
      </c>
    </row>
    <row r="334" spans="2:15" x14ac:dyDescent="0.25">
      <c r="C334" s="10"/>
      <c r="D334" s="10"/>
      <c r="E334" s="17"/>
      <c r="F334" s="17"/>
      <c r="G334" s="17"/>
      <c r="H334" s="17"/>
      <c r="I334" s="17"/>
      <c r="J334" s="11"/>
      <c r="K334" s="11"/>
      <c r="L334" s="11"/>
      <c r="M334" s="14" vm="161">
        <f ca="1"/>
        <v>45587</v>
      </c>
      <c r="N334" s="14" vm="162">
        <f ca="1"/>
        <v>42.94</v>
      </c>
      <c r="O334" s="14">
        <f t="shared" ca="1" si="1"/>
        <v>-8.1843085155127622E-3</v>
      </c>
    </row>
    <row r="335" spans="2:15" x14ac:dyDescent="0.25">
      <c r="C335" s="10"/>
      <c r="D335" s="10"/>
      <c r="E335" s="17"/>
      <c r="F335" s="17"/>
      <c r="G335" s="17"/>
      <c r="H335" s="17"/>
      <c r="I335" s="17"/>
      <c r="J335" s="11"/>
      <c r="K335" s="11"/>
      <c r="L335" s="11"/>
      <c r="M335" s="14" vm="163">
        <f ca="1"/>
        <v>45588</v>
      </c>
      <c r="N335" s="14" vm="164">
        <f ca="1"/>
        <v>42.59</v>
      </c>
      <c r="O335" s="14">
        <f t="shared" ca="1" si="1"/>
        <v>2.2519814129637619E-2</v>
      </c>
    </row>
    <row r="336" spans="2:15" x14ac:dyDescent="0.25">
      <c r="C336" s="10"/>
      <c r="D336" s="10"/>
      <c r="E336" s="17"/>
      <c r="F336" s="17"/>
      <c r="G336" s="17"/>
      <c r="H336" s="17"/>
      <c r="I336" s="17"/>
      <c r="J336" s="11"/>
      <c r="K336" s="11"/>
      <c r="L336" s="11"/>
      <c r="M336" s="14" vm="165">
        <f ca="1"/>
        <v>45589</v>
      </c>
      <c r="N336" s="14" vm="166">
        <f ca="1"/>
        <v>43.56</v>
      </c>
      <c r="O336" s="14">
        <f t="shared" ca="1" si="1"/>
        <v>2.9407231027302382E-2</v>
      </c>
    </row>
    <row r="337" spans="3:15" x14ac:dyDescent="0.25">
      <c r="C337" s="10"/>
      <c r="D337" s="10"/>
      <c r="E337" s="17"/>
      <c r="F337" s="17"/>
      <c r="G337" s="17"/>
      <c r="H337" s="17"/>
      <c r="I337" s="17"/>
      <c r="J337" s="11"/>
      <c r="K337" s="11"/>
      <c r="L337" s="11"/>
      <c r="M337" s="14" vm="167">
        <f ca="1"/>
        <v>45590</v>
      </c>
      <c r="N337" s="14" vm="168">
        <f ca="1"/>
        <v>44.86</v>
      </c>
      <c r="O337" s="14">
        <f t="shared" ca="1" si="1"/>
        <v>2.4490716905537281E-3</v>
      </c>
    </row>
    <row r="338" spans="3:15" x14ac:dyDescent="0.25">
      <c r="C338" s="10"/>
      <c r="D338" s="10"/>
      <c r="E338" s="17"/>
      <c r="F338" s="17"/>
      <c r="G338" s="17"/>
      <c r="H338" s="17"/>
      <c r="I338" s="17"/>
      <c r="J338" s="11"/>
      <c r="K338" s="11"/>
      <c r="L338" s="11"/>
      <c r="M338" s="14" vm="169">
        <f ca="1"/>
        <v>45593</v>
      </c>
      <c r="N338" s="14" vm="170">
        <f ca="1"/>
        <v>44.97</v>
      </c>
      <c r="O338" s="14">
        <f t="shared" ca="1" si="1"/>
        <v>-8.8987770054739415E-4</v>
      </c>
    </row>
    <row r="339" spans="3:15" x14ac:dyDescent="0.25">
      <c r="C339" s="10"/>
      <c r="D339" s="10"/>
      <c r="E339" s="17"/>
      <c r="F339" s="17"/>
      <c r="G339" s="17"/>
      <c r="H339" s="17"/>
      <c r="I339" s="17"/>
      <c r="J339" s="11"/>
      <c r="K339" s="11"/>
      <c r="L339" s="11"/>
      <c r="M339" s="14" vm="171">
        <f ca="1"/>
        <v>45594</v>
      </c>
      <c r="N339" s="14" vm="172">
        <f ca="1"/>
        <v>44.93</v>
      </c>
      <c r="O339" s="14">
        <f t="shared" ca="1" si="1"/>
        <v>-2.7986480118724066E-2</v>
      </c>
    </row>
    <row r="340" spans="3:15" x14ac:dyDescent="0.25">
      <c r="C340" s="10"/>
      <c r="D340" s="10"/>
      <c r="E340" s="17"/>
      <c r="F340" s="17"/>
      <c r="G340" s="17"/>
      <c r="H340" s="17"/>
      <c r="I340" s="17"/>
      <c r="J340" s="11"/>
      <c r="K340" s="11"/>
      <c r="L340" s="11"/>
      <c r="M340" s="14" vm="173">
        <f ca="1"/>
        <v>45595</v>
      </c>
      <c r="N340" s="14" vm="174">
        <f ca="1"/>
        <v>43.69</v>
      </c>
      <c r="O340" s="14">
        <f t="shared" ca="1" si="1"/>
        <v>-4.9981076732317803E-2</v>
      </c>
    </row>
    <row r="341" spans="3:15" x14ac:dyDescent="0.25">
      <c r="C341" s="10"/>
      <c r="D341" s="10"/>
      <c r="E341" s="17"/>
      <c r="F341" s="17"/>
      <c r="G341" s="17"/>
      <c r="H341" s="17"/>
      <c r="I341" s="17"/>
      <c r="J341" s="11"/>
      <c r="K341" s="11"/>
      <c r="L341" s="11"/>
      <c r="M341" s="14" vm="175">
        <f ca="1"/>
        <v>45596</v>
      </c>
      <c r="N341" s="14" vm="176">
        <f ca="1"/>
        <v>41.56</v>
      </c>
      <c r="O341" s="14">
        <f t="shared" ca="1" si="1"/>
        <v>8.6248737817601583E-3</v>
      </c>
    </row>
    <row r="342" spans="3:15" x14ac:dyDescent="0.25">
      <c r="C342" s="10"/>
      <c r="D342" s="10"/>
      <c r="E342" s="17"/>
      <c r="F342" s="17"/>
      <c r="G342" s="17"/>
      <c r="H342" s="17"/>
      <c r="I342" s="17"/>
      <c r="J342" s="11"/>
      <c r="K342" s="11"/>
      <c r="L342" s="11"/>
      <c r="M342" s="14" vm="177">
        <f ca="1"/>
        <v>45597</v>
      </c>
      <c r="N342" s="14" vm="178">
        <f ca="1"/>
        <v>41.92</v>
      </c>
      <c r="O342" s="14">
        <f t="shared" ca="1" si="1"/>
        <v>-1.2240642455310972E-2</v>
      </c>
    </row>
    <row r="343" spans="3:15" x14ac:dyDescent="0.25">
      <c r="C343" s="10"/>
      <c r="D343" s="10"/>
      <c r="E343" s="17"/>
      <c r="F343" s="17"/>
      <c r="G343" s="17"/>
      <c r="H343" s="17"/>
      <c r="I343" s="17"/>
      <c r="J343" s="11"/>
      <c r="K343" s="11"/>
      <c r="L343" s="11"/>
      <c r="M343" s="14" vm="179">
        <f ca="1"/>
        <v>45600</v>
      </c>
      <c r="N343" s="14" vm="180">
        <f ca="1"/>
        <v>41.41</v>
      </c>
      <c r="O343" s="14">
        <f t="shared" ca="1" si="1"/>
        <v>0.21084901153443217</v>
      </c>
    </row>
    <row r="344" spans="3:15" x14ac:dyDescent="0.25">
      <c r="C344" s="10"/>
      <c r="D344" s="10"/>
      <c r="E344" s="17"/>
      <c r="F344" s="17"/>
      <c r="G344" s="17"/>
      <c r="H344" s="17"/>
      <c r="I344" s="17"/>
      <c r="J344" s="11"/>
      <c r="K344" s="11"/>
      <c r="L344" s="11"/>
      <c r="M344" s="14" vm="181">
        <f ca="1"/>
        <v>45601</v>
      </c>
      <c r="N344" s="14" vm="182">
        <f ca="1"/>
        <v>51.13</v>
      </c>
      <c r="O344" s="14">
        <f t="shared" ca="1" si="1"/>
        <v>8.2552006161607849E-2</v>
      </c>
    </row>
    <row r="345" spans="3:15" x14ac:dyDescent="0.25">
      <c r="C345" s="10"/>
      <c r="D345" s="10"/>
      <c r="E345" s="17"/>
      <c r="F345" s="17"/>
      <c r="G345" s="17"/>
      <c r="H345" s="17"/>
      <c r="I345" s="17"/>
      <c r="J345" s="11"/>
      <c r="K345" s="11"/>
      <c r="L345" s="11"/>
      <c r="M345" s="14" vm="183">
        <f ca="1"/>
        <v>45602</v>
      </c>
      <c r="N345" s="14" vm="184">
        <f ca="1"/>
        <v>55.53</v>
      </c>
      <c r="O345" s="14">
        <f t="shared" ca="1" si="1"/>
        <v>6.2831191352452857E-3</v>
      </c>
    </row>
    <row r="346" spans="3:15" x14ac:dyDescent="0.25">
      <c r="C346" s="10"/>
      <c r="D346" s="10"/>
      <c r="E346" s="17"/>
      <c r="F346" s="17"/>
      <c r="G346" s="17"/>
      <c r="H346" s="17"/>
      <c r="I346" s="17"/>
      <c r="J346" s="11"/>
      <c r="K346" s="11"/>
      <c r="L346" s="11"/>
      <c r="M346" s="14" vm="185">
        <f ca="1"/>
        <v>45603</v>
      </c>
      <c r="N346" s="14" vm="186">
        <f ca="1"/>
        <v>55.88</v>
      </c>
      <c r="O346" s="14">
        <f t="shared" ca="1" si="1"/>
        <v>4.3938107906685231E-2</v>
      </c>
    </row>
    <row r="347" spans="3:15" x14ac:dyDescent="0.25">
      <c r="C347" s="10"/>
      <c r="D347" s="10"/>
      <c r="E347" s="17"/>
      <c r="F347" s="17"/>
      <c r="G347" s="17"/>
      <c r="H347" s="17"/>
      <c r="I347" s="17"/>
      <c r="J347" s="11"/>
      <c r="K347" s="11"/>
      <c r="L347" s="11"/>
      <c r="M347" s="14" vm="187">
        <f ca="1"/>
        <v>45604</v>
      </c>
      <c r="N347" s="14" vm="188">
        <f ca="1"/>
        <v>58.39</v>
      </c>
      <c r="O347" s="14">
        <f t="shared" ca="1" si="1"/>
        <v>3.1191941196191873E-2</v>
      </c>
    </row>
    <row r="348" spans="3:15" x14ac:dyDescent="0.25">
      <c r="C348" s="10"/>
      <c r="D348" s="10"/>
      <c r="E348" s="17"/>
      <c r="F348" s="17"/>
      <c r="G348" s="17"/>
      <c r="H348" s="17"/>
      <c r="I348" s="17"/>
      <c r="J348" s="11"/>
      <c r="K348" s="11"/>
      <c r="L348" s="11"/>
      <c r="M348" s="14" vm="189">
        <f ca="1"/>
        <v>45607</v>
      </c>
      <c r="N348" s="14" vm="190">
        <f ca="1"/>
        <v>60.24</v>
      </c>
      <c r="O348" s="14">
        <f t="shared" ca="1" si="1"/>
        <v>-6.4951514876559775E-3</v>
      </c>
    </row>
    <row r="349" spans="3:15" x14ac:dyDescent="0.25">
      <c r="C349" s="10"/>
      <c r="D349" s="10"/>
      <c r="E349" s="17"/>
      <c r="F349" s="17"/>
      <c r="G349" s="17"/>
      <c r="H349" s="17"/>
      <c r="I349" s="17"/>
      <c r="J349" s="11"/>
      <c r="K349" s="11"/>
      <c r="L349" s="11"/>
      <c r="M349" s="14" vm="191">
        <f ca="1"/>
        <v>45608</v>
      </c>
      <c r="N349" s="14" vm="192">
        <f ca="1"/>
        <v>59.85</v>
      </c>
      <c r="O349" s="14">
        <f t="shared" ca="1" si="1"/>
        <v>1.4102266061470478E-2</v>
      </c>
    </row>
    <row r="350" spans="3:15" x14ac:dyDescent="0.25">
      <c r="C350" s="10"/>
      <c r="D350" s="10"/>
      <c r="E350" s="17"/>
      <c r="F350" s="17"/>
      <c r="G350" s="17"/>
      <c r="H350" s="17"/>
      <c r="I350" s="17"/>
      <c r="J350" s="11"/>
      <c r="K350" s="11"/>
      <c r="L350" s="11"/>
      <c r="M350" s="14" vm="193">
        <f ca="1"/>
        <v>45609</v>
      </c>
      <c r="N350" s="14" vm="194">
        <f ca="1"/>
        <v>60.7</v>
      </c>
      <c r="O350" s="14">
        <f t="shared" ca="1" si="1"/>
        <v>-2.5360051093389027E-2</v>
      </c>
    </row>
    <row r="351" spans="3:15" x14ac:dyDescent="0.25">
      <c r="C351" s="10"/>
      <c r="D351" s="10"/>
      <c r="E351" s="17"/>
      <c r="F351" s="17"/>
      <c r="G351" s="17"/>
      <c r="H351" s="17"/>
      <c r="I351" s="17"/>
      <c r="J351" s="11"/>
      <c r="K351" s="11"/>
      <c r="L351" s="11"/>
      <c r="M351" s="14" vm="195">
        <f ca="1"/>
        <v>45610</v>
      </c>
      <c r="N351" s="14" vm="196">
        <f ca="1"/>
        <v>59.18</v>
      </c>
      <c r="O351" s="14">
        <f t="shared" ca="1" si="1"/>
        <v>0.10558016034119609</v>
      </c>
    </row>
    <row r="352" spans="3:15" x14ac:dyDescent="0.25">
      <c r="C352" s="10"/>
      <c r="D352" s="10"/>
      <c r="E352" s="17"/>
      <c r="F352" s="17"/>
      <c r="G352" s="17"/>
      <c r="H352" s="17"/>
      <c r="I352" s="17"/>
      <c r="J352" s="11"/>
      <c r="K352" s="11"/>
      <c r="L352" s="11"/>
      <c r="M352" s="14" vm="197">
        <f ca="1"/>
        <v>45611</v>
      </c>
      <c r="N352" s="14" vm="198">
        <f ca="1"/>
        <v>65.77</v>
      </c>
      <c r="O352" s="14">
        <f t="shared" ca="1" si="1"/>
        <v>-7.1036705908630399E-2</v>
      </c>
    </row>
    <row r="353" spans="3:15" x14ac:dyDescent="0.25">
      <c r="C353" s="10"/>
      <c r="D353" s="10"/>
      <c r="E353" s="17"/>
      <c r="F353" s="17"/>
      <c r="G353" s="17"/>
      <c r="H353" s="17"/>
      <c r="I353" s="17"/>
      <c r="J353" s="11"/>
      <c r="K353" s="11"/>
      <c r="L353" s="11"/>
      <c r="M353" s="14" vm="199">
        <f ca="1"/>
        <v>45614</v>
      </c>
      <c r="N353" s="14" vm="200">
        <f ca="1"/>
        <v>61.26</v>
      </c>
      <c r="O353" s="14">
        <f t="shared" ca="1" si="1"/>
        <v>2.7690114268249407E-2</v>
      </c>
    </row>
    <row r="354" spans="3:15" x14ac:dyDescent="0.25">
      <c r="C354" s="10"/>
      <c r="D354" s="10"/>
      <c r="E354" s="17"/>
      <c r="F354" s="17"/>
      <c r="G354" s="17"/>
      <c r="H354" s="17"/>
      <c r="I354" s="17"/>
      <c r="J354" s="11"/>
      <c r="K354" s="11"/>
      <c r="L354" s="11"/>
      <c r="M354" s="14" vm="201">
        <f ca="1"/>
        <v>45615</v>
      </c>
      <c r="N354" s="14" vm="202">
        <f ca="1"/>
        <v>62.98</v>
      </c>
      <c r="O354" s="14">
        <f t="shared" ca="1" si="1"/>
        <v>-1.3749217392392224E-2</v>
      </c>
    </row>
    <row r="355" spans="3:15" x14ac:dyDescent="0.25">
      <c r="C355" s="10"/>
      <c r="D355" s="10"/>
      <c r="E355" s="17"/>
      <c r="F355" s="17"/>
      <c r="G355" s="17"/>
      <c r="H355" s="17"/>
      <c r="I355" s="17"/>
      <c r="J355" s="11"/>
      <c r="K355" s="11"/>
      <c r="L355" s="11"/>
      <c r="M355" s="14" vm="203">
        <f ca="1"/>
        <v>45616</v>
      </c>
      <c r="N355" s="14" vm="204">
        <f ca="1"/>
        <v>62.12</v>
      </c>
      <c r="O355" s="14">
        <f t="shared" ca="1" si="1"/>
        <v>-1.2309841221485563E-2</v>
      </c>
    </row>
    <row r="356" spans="3:15" x14ac:dyDescent="0.25">
      <c r="C356" s="10"/>
      <c r="D356" s="10"/>
      <c r="E356" s="17"/>
      <c r="F356" s="17"/>
      <c r="G356" s="17"/>
      <c r="H356" s="17"/>
      <c r="I356" s="17"/>
      <c r="J356" s="11"/>
      <c r="K356" s="11"/>
      <c r="L356" s="11"/>
      <c r="M356" s="14" vm="205">
        <f ca="1"/>
        <v>45617</v>
      </c>
      <c r="N356" s="14" vm="206">
        <f ca="1"/>
        <v>61.36</v>
      </c>
      <c r="O356" s="14">
        <f t="shared" ca="1" si="1"/>
        <v>4.7578776983134903E-2</v>
      </c>
    </row>
    <row r="357" spans="3:15" x14ac:dyDescent="0.25">
      <c r="C357" s="10"/>
      <c r="D357" s="10"/>
      <c r="E357" s="17"/>
      <c r="F357" s="17"/>
      <c r="G357" s="17"/>
      <c r="H357" s="17"/>
      <c r="I357" s="17"/>
      <c r="J357" s="11"/>
      <c r="K357" s="11"/>
      <c r="L357" s="11"/>
      <c r="M357" s="14" vm="207">
        <f ca="1"/>
        <v>45618</v>
      </c>
      <c r="N357" s="14" vm="208">
        <f ca="1"/>
        <v>64.349999999999994</v>
      </c>
      <c r="O357" s="14">
        <f t="shared" ca="1" si="1"/>
        <v>4.6511711757311015E-3</v>
      </c>
    </row>
    <row r="358" spans="3:15" x14ac:dyDescent="0.25">
      <c r="C358" s="10"/>
      <c r="D358" s="10"/>
      <c r="E358" s="17"/>
      <c r="F358" s="17"/>
      <c r="G358" s="17"/>
      <c r="H358" s="17"/>
      <c r="I358" s="17"/>
      <c r="J358" s="11"/>
      <c r="K358" s="11"/>
      <c r="L358" s="11"/>
      <c r="M358" s="14" vm="209">
        <f ca="1"/>
        <v>45621</v>
      </c>
      <c r="N358" s="14" vm="210">
        <f ca="1"/>
        <v>64.650000000000006</v>
      </c>
      <c r="O358" s="14">
        <f t="shared" ca="1" si="1"/>
        <v>1.6719463018206711E-2</v>
      </c>
    </row>
    <row r="359" spans="3:15" x14ac:dyDescent="0.25">
      <c r="C359" s="10"/>
      <c r="D359" s="10"/>
      <c r="E359" s="17"/>
      <c r="F359" s="17"/>
      <c r="G359" s="17"/>
      <c r="H359" s="17"/>
      <c r="I359" s="17"/>
      <c r="J359" s="11"/>
      <c r="K359" s="11"/>
      <c r="L359" s="11"/>
      <c r="M359" s="14" vm="211">
        <f ca="1"/>
        <v>45622</v>
      </c>
      <c r="N359" s="14" vm="212">
        <f ca="1"/>
        <v>65.739999999999995</v>
      </c>
      <c r="O359" s="14">
        <f t="shared" ca="1" si="1"/>
        <v>4.7044627322610725E-3</v>
      </c>
    </row>
    <row r="360" spans="3:15" x14ac:dyDescent="0.25">
      <c r="C360" s="10"/>
      <c r="D360" s="10"/>
      <c r="E360" s="17"/>
      <c r="F360" s="17"/>
      <c r="G360" s="17"/>
      <c r="H360" s="17"/>
      <c r="I360" s="17"/>
      <c r="J360" s="11"/>
      <c r="K360" s="11"/>
      <c r="L360" s="11"/>
      <c r="M360" s="14" vm="213">
        <f ca="1"/>
        <v>45623</v>
      </c>
      <c r="N360" s="14" vm="214">
        <f ca="1"/>
        <v>66.05</v>
      </c>
      <c r="O360" s="14">
        <f t="shared" ca="1" si="1"/>
        <v>1.5473905986673779E-2</v>
      </c>
    </row>
    <row r="361" spans="3:15" x14ac:dyDescent="0.25">
      <c r="C361" s="10"/>
      <c r="D361" s="10"/>
      <c r="E361" s="17"/>
      <c r="F361" s="17"/>
      <c r="G361" s="17"/>
      <c r="H361" s="17"/>
      <c r="I361" s="17"/>
      <c r="J361" s="11"/>
      <c r="K361" s="11"/>
      <c r="L361" s="11"/>
      <c r="M361" s="14" vm="215">
        <f ca="1"/>
        <v>45625</v>
      </c>
      <c r="N361" s="14" vm="216">
        <f ca="1"/>
        <v>67.08</v>
      </c>
      <c r="O361" s="14">
        <f t="shared" ca="1" si="1"/>
        <v>-1.0339494223940104E-2</v>
      </c>
    </row>
    <row r="362" spans="3:15" x14ac:dyDescent="0.25">
      <c r="C362" s="10"/>
      <c r="D362" s="10"/>
      <c r="E362" s="17"/>
      <c r="F362" s="17"/>
      <c r="G362" s="17"/>
      <c r="H362" s="17"/>
      <c r="I362" s="17"/>
      <c r="J362" s="11"/>
      <c r="K362" s="11"/>
      <c r="L362" s="11"/>
      <c r="M362" s="14" vm="217">
        <f ca="1"/>
        <v>45628</v>
      </c>
      <c r="N362" s="14" vm="218">
        <f ca="1"/>
        <v>66.39</v>
      </c>
      <c r="O362" s="14">
        <f t="shared" ca="1" si="1"/>
        <v>6.6569895270255919E-2</v>
      </c>
    </row>
    <row r="363" spans="3:15" x14ac:dyDescent="0.25">
      <c r="C363" s="10"/>
      <c r="D363" s="10"/>
      <c r="E363" s="17"/>
      <c r="F363" s="17"/>
      <c r="G363" s="17"/>
      <c r="H363" s="17"/>
      <c r="I363" s="17"/>
      <c r="J363" s="11"/>
      <c r="K363" s="11"/>
      <c r="L363" s="11"/>
      <c r="M363" s="14" vm="219">
        <f ca="1"/>
        <v>45629</v>
      </c>
      <c r="N363" s="14" vm="220">
        <f ca="1"/>
        <v>70.959999999999994</v>
      </c>
      <c r="O363" s="14">
        <f t="shared" ca="1" si="1"/>
        <v>-1.576625229835325E-2</v>
      </c>
    </row>
    <row r="364" spans="3:15" x14ac:dyDescent="0.25">
      <c r="C364" s="10"/>
      <c r="D364" s="10"/>
      <c r="E364" s="17"/>
      <c r="F364" s="17"/>
      <c r="G364" s="17"/>
      <c r="H364" s="17"/>
      <c r="I364" s="17"/>
      <c r="J364" s="11"/>
      <c r="K364" s="11"/>
      <c r="L364" s="11"/>
      <c r="M364" s="14" vm="221">
        <f ca="1"/>
        <v>45630</v>
      </c>
      <c r="N364" s="14" vm="222">
        <f ca="1"/>
        <v>69.849999999999994</v>
      </c>
      <c r="O364" s="14">
        <f t="shared" ca="1" si="1"/>
        <v>2.8508845777380502E-2</v>
      </c>
    </row>
    <row r="365" spans="3:15" x14ac:dyDescent="0.25">
      <c r="C365" s="10"/>
      <c r="D365" s="10"/>
      <c r="E365" s="17"/>
      <c r="F365" s="17"/>
      <c r="G365" s="17"/>
      <c r="H365" s="17"/>
      <c r="I365" s="17"/>
      <c r="J365" s="11"/>
      <c r="K365" s="11"/>
      <c r="L365" s="11"/>
      <c r="M365" s="14" vm="223">
        <f ca="1"/>
        <v>45631</v>
      </c>
      <c r="N365" s="14" vm="224">
        <f ca="1"/>
        <v>71.87</v>
      </c>
      <c r="O365" s="14">
        <f t="shared" ca="1" si="1"/>
        <v>6.033811583673248E-2</v>
      </c>
    </row>
    <row r="366" spans="3:15" x14ac:dyDescent="0.25">
      <c r="C366" s="10"/>
      <c r="D366" s="10"/>
      <c r="E366" s="17"/>
      <c r="F366" s="17"/>
      <c r="G366" s="17"/>
      <c r="H366" s="17"/>
      <c r="I366" s="17"/>
      <c r="J366" s="11"/>
      <c r="K366" s="11"/>
      <c r="L366" s="11"/>
      <c r="M366" s="14" vm="225">
        <f ca="1"/>
        <v>45632</v>
      </c>
      <c r="N366" s="14" vm="226">
        <f ca="1"/>
        <v>76.34</v>
      </c>
      <c r="O366" s="14">
        <f t="shared" ca="1" si="1"/>
        <v>-5.2162361850152592E-2</v>
      </c>
    </row>
    <row r="367" spans="3:15" x14ac:dyDescent="0.25">
      <c r="C367" s="10"/>
      <c r="D367" s="10"/>
      <c r="E367" s="17"/>
      <c r="F367" s="17"/>
      <c r="G367" s="17"/>
      <c r="H367" s="17"/>
      <c r="I367" s="17"/>
      <c r="J367" s="11"/>
      <c r="K367" s="11"/>
      <c r="L367" s="11"/>
      <c r="M367" s="14" vm="227">
        <f ca="1"/>
        <v>45635</v>
      </c>
      <c r="N367" s="14" vm="228">
        <f ca="1"/>
        <v>72.459999999999994</v>
      </c>
      <c r="O367" s="14">
        <f t="shared" ca="1" si="1"/>
        <v>-2.1905305600004889E-2</v>
      </c>
    </row>
    <row r="368" spans="3:15" x14ac:dyDescent="0.25">
      <c r="C368" s="10"/>
      <c r="D368" s="10"/>
      <c r="E368" s="17"/>
      <c r="F368" s="17"/>
      <c r="G368" s="17"/>
      <c r="H368" s="17"/>
      <c r="I368" s="17"/>
      <c r="J368" s="11"/>
      <c r="K368" s="11"/>
      <c r="L368" s="11"/>
      <c r="M368" s="14" vm="229">
        <f ca="1"/>
        <v>45636</v>
      </c>
      <c r="N368" s="14" vm="230">
        <f ca="1"/>
        <v>70.89</v>
      </c>
      <c r="O368" s="14">
        <f t="shared" ca="1" si="1"/>
        <v>2.2595103516575187E-2</v>
      </c>
    </row>
    <row r="369" spans="3:15" x14ac:dyDescent="0.25">
      <c r="C369" s="10"/>
      <c r="D369" s="10"/>
      <c r="E369" s="17"/>
      <c r="F369" s="17"/>
      <c r="G369" s="17"/>
      <c r="H369" s="17"/>
      <c r="I369" s="17"/>
      <c r="J369" s="11"/>
      <c r="K369" s="11"/>
      <c r="L369" s="11"/>
      <c r="M369" s="14" vm="231">
        <f ca="1"/>
        <v>45637</v>
      </c>
      <c r="N369" s="14" vm="232">
        <f ca="1"/>
        <v>72.510000000000005</v>
      </c>
      <c r="O369" s="14">
        <f t="shared" ca="1" si="1"/>
        <v>9.4709375837644036E-3</v>
      </c>
    </row>
    <row r="370" spans="3:15" x14ac:dyDescent="0.25">
      <c r="C370" s="10"/>
      <c r="D370" s="10"/>
      <c r="E370" s="17"/>
      <c r="F370" s="17"/>
      <c r="G370" s="17"/>
      <c r="H370" s="17"/>
      <c r="I370" s="17"/>
      <c r="J370" s="11"/>
      <c r="K370" s="11"/>
      <c r="L370" s="11"/>
      <c r="M370" s="14" vm="233">
        <f ca="1"/>
        <v>45638</v>
      </c>
      <c r="N370" s="14" vm="234">
        <f ca="1"/>
        <v>73.2</v>
      </c>
      <c r="O370" s="14">
        <f t="shared" ca="1" si="1"/>
        <v>3.8458548041943819E-2</v>
      </c>
    </row>
    <row r="371" spans="3:15" x14ac:dyDescent="0.25">
      <c r="C371" s="10"/>
      <c r="D371" s="10"/>
      <c r="E371" s="17"/>
      <c r="F371" s="17"/>
      <c r="G371" s="17"/>
      <c r="H371" s="17"/>
      <c r="I371" s="17"/>
      <c r="J371" s="11"/>
      <c r="K371" s="11"/>
      <c r="L371" s="11"/>
      <c r="M371" s="14" vm="235">
        <f ca="1"/>
        <v>45639</v>
      </c>
      <c r="N371" s="14" vm="236">
        <f ca="1"/>
        <v>76.069999999999993</v>
      </c>
      <c r="O371" s="14">
        <f t="shared" ca="1" si="1"/>
        <v>-4.2155246197311527E-3</v>
      </c>
    </row>
    <row r="372" spans="3:15" x14ac:dyDescent="0.25">
      <c r="C372" s="10"/>
      <c r="D372" s="10"/>
      <c r="E372" s="17"/>
      <c r="F372" s="17"/>
      <c r="G372" s="17"/>
      <c r="H372" s="17"/>
      <c r="I372" s="17"/>
      <c r="J372" s="11"/>
      <c r="K372" s="11"/>
      <c r="L372" s="11"/>
      <c r="M372" s="14" vm="237">
        <f ca="1"/>
        <v>45642</v>
      </c>
      <c r="N372" s="14" vm="238">
        <f ca="1"/>
        <v>75.75</v>
      </c>
      <c r="O372" s="14">
        <f t="shared" ca="1" si="1"/>
        <v>-1.8116920186228461E-2</v>
      </c>
    </row>
    <row r="373" spans="3:15" x14ac:dyDescent="0.25">
      <c r="C373" s="10"/>
      <c r="D373" s="10"/>
      <c r="E373" s="17"/>
      <c r="F373" s="17"/>
      <c r="G373" s="17"/>
      <c r="H373" s="17"/>
      <c r="I373" s="17"/>
      <c r="J373" s="11"/>
      <c r="K373" s="11"/>
      <c r="L373" s="11"/>
      <c r="M373" s="14" vm="239">
        <f ca="1"/>
        <v>45643</v>
      </c>
      <c r="N373" s="14" vm="240">
        <f ca="1"/>
        <v>74.39</v>
      </c>
      <c r="O373" s="14">
        <f t="shared" ca="1" si="1"/>
        <v>-3.9484224142945321E-2</v>
      </c>
    </row>
    <row r="374" spans="3:15" x14ac:dyDescent="0.25">
      <c r="C374" s="10"/>
      <c r="D374" s="10"/>
      <c r="E374" s="17"/>
      <c r="F374" s="17"/>
      <c r="G374" s="17"/>
      <c r="H374" s="17"/>
      <c r="I374" s="17"/>
      <c r="J374" s="11"/>
      <c r="K374" s="11"/>
      <c r="L374" s="11"/>
      <c r="M374" s="14" vm="241">
        <f ca="1"/>
        <v>45644</v>
      </c>
      <c r="N374" s="14" vm="242">
        <f ca="1"/>
        <v>71.510000000000005</v>
      </c>
      <c r="O374" s="14">
        <f t="shared" ca="1" si="1"/>
        <v>3.7061611921737528E-2</v>
      </c>
    </row>
    <row r="375" spans="3:15" x14ac:dyDescent="0.25">
      <c r="C375" s="10"/>
      <c r="D375" s="10"/>
      <c r="E375" s="17"/>
      <c r="F375" s="17"/>
      <c r="G375" s="17"/>
      <c r="H375" s="17"/>
      <c r="I375" s="17"/>
      <c r="J375" s="11"/>
      <c r="K375" s="11"/>
      <c r="L375" s="11"/>
      <c r="M375" s="14" vm="243">
        <f ca="1"/>
        <v>45645</v>
      </c>
      <c r="N375" s="14" vm="244">
        <f ca="1"/>
        <v>74.209999999999994</v>
      </c>
      <c r="O375" s="14">
        <f t="shared" ca="1" si="1"/>
        <v>8.1979197640941165E-2</v>
      </c>
    </row>
    <row r="376" spans="3:15" x14ac:dyDescent="0.25">
      <c r="C376" s="10"/>
      <c r="D376" s="10"/>
      <c r="E376" s="17"/>
      <c r="F376" s="17"/>
      <c r="G376" s="17"/>
      <c r="H376" s="17"/>
      <c r="I376" s="17"/>
      <c r="J376" s="11"/>
      <c r="K376" s="11"/>
      <c r="L376" s="11"/>
      <c r="M376" s="14" vm="245">
        <f ca="1"/>
        <v>45646</v>
      </c>
      <c r="N376" s="14" vm="246">
        <f ca="1"/>
        <v>80.55</v>
      </c>
      <c r="O376" s="14">
        <f t="shared" ca="1" si="1"/>
        <v>1.7365422374319194E-3</v>
      </c>
    </row>
    <row r="377" spans="3:15" x14ac:dyDescent="0.25">
      <c r="C377" s="10"/>
      <c r="D377" s="10"/>
      <c r="E377" s="17"/>
      <c r="F377" s="17"/>
      <c r="G377" s="17"/>
      <c r="H377" s="17"/>
      <c r="I377" s="17"/>
      <c r="J377" s="11"/>
      <c r="K377" s="11"/>
      <c r="L377" s="11"/>
      <c r="M377" s="14" vm="247">
        <f ca="1"/>
        <v>45649</v>
      </c>
      <c r="N377" s="14" vm="248">
        <f ca="1"/>
        <v>80.69</v>
      </c>
      <c r="O377" s="14">
        <f t="shared" ca="1" si="1"/>
        <v>2.0728037147519477E-2</v>
      </c>
    </row>
    <row r="378" spans="3:15" x14ac:dyDescent="0.25">
      <c r="C378" s="10"/>
      <c r="D378" s="10"/>
      <c r="E378" s="17"/>
      <c r="F378" s="17"/>
      <c r="G378" s="17"/>
      <c r="H378" s="17"/>
      <c r="I378" s="17"/>
      <c r="J378" s="11"/>
      <c r="K378" s="11"/>
      <c r="L378" s="11"/>
      <c r="M378" s="14" vm="249">
        <f ca="1"/>
        <v>45650</v>
      </c>
      <c r="N378" s="14" vm="250">
        <f ca="1"/>
        <v>82.38</v>
      </c>
      <c r="O378" s="14">
        <f t="shared" ca="1" si="1"/>
        <v>-2.9175804795220938E-3</v>
      </c>
    </row>
    <row r="379" spans="3:15" x14ac:dyDescent="0.25">
      <c r="C379" s="10"/>
      <c r="D379" s="10"/>
      <c r="E379" s="17"/>
      <c r="F379" s="17"/>
      <c r="G379" s="17"/>
      <c r="H379" s="17"/>
      <c r="I379" s="17"/>
      <c r="J379" s="11"/>
      <c r="K379" s="11"/>
      <c r="L379" s="11"/>
      <c r="M379" s="14" vm="251">
        <f ca="1"/>
        <v>45652</v>
      </c>
      <c r="N379" s="14" vm="252">
        <f ca="1"/>
        <v>82.14</v>
      </c>
      <c r="O379" s="14">
        <f t="shared" ca="1" si="1"/>
        <v>-3.7965110225996392E-2</v>
      </c>
    </row>
    <row r="380" spans="3:15" x14ac:dyDescent="0.25">
      <c r="C380" s="10"/>
      <c r="D380" s="10"/>
      <c r="E380" s="17"/>
      <c r="F380" s="17"/>
      <c r="G380" s="17"/>
      <c r="H380" s="17"/>
      <c r="I380" s="17"/>
      <c r="J380" s="11"/>
      <c r="K380" s="11"/>
      <c r="L380" s="11"/>
      <c r="M380" s="14" vm="253">
        <f ca="1"/>
        <v>45653</v>
      </c>
      <c r="N380" s="14" vm="254">
        <f ca="1"/>
        <v>79.08</v>
      </c>
      <c r="O380" s="14">
        <f t="shared" ca="1" si="1"/>
        <v>-2.4319642192943362E-2</v>
      </c>
    </row>
    <row r="381" spans="3:15" x14ac:dyDescent="0.25">
      <c r="C381" s="10"/>
      <c r="D381" s="10"/>
      <c r="E381" s="17"/>
      <c r="F381" s="17"/>
      <c r="G381" s="17"/>
      <c r="H381" s="17"/>
      <c r="I381" s="17"/>
      <c r="J381" s="11"/>
      <c r="K381" s="11"/>
      <c r="L381" s="11"/>
      <c r="M381" s="14" vm="255">
        <f ca="1"/>
        <v>45656</v>
      </c>
      <c r="N381" s="14" vm="256">
        <f ca="1"/>
        <v>77.180000000000007</v>
      </c>
      <c r="O381" s="14">
        <f t="shared" ca="1" si="1"/>
        <v>-2.0287326241534707E-2</v>
      </c>
    </row>
    <row r="382" spans="3:15" x14ac:dyDescent="0.25">
      <c r="C382" s="10"/>
      <c r="D382" s="10"/>
      <c r="E382" s="17"/>
      <c r="F382" s="17"/>
      <c r="G382" s="17"/>
      <c r="H382" s="17"/>
      <c r="I382" s="17"/>
      <c r="J382" s="11"/>
      <c r="K382" s="11"/>
      <c r="L382" s="11"/>
      <c r="M382" s="14" vm="257">
        <f ca="1"/>
        <v>45657</v>
      </c>
      <c r="N382" s="14" vm="258">
        <f ca="1"/>
        <v>75.63</v>
      </c>
      <c r="O382" s="14">
        <f t="shared" ref="O382:O445" ca="1" si="2">LN(N383/N382)</f>
        <v>-5.8347864780025609E-3</v>
      </c>
    </row>
    <row r="383" spans="3:15" x14ac:dyDescent="0.25">
      <c r="C383" s="10"/>
      <c r="D383" s="10"/>
      <c r="E383" s="17"/>
      <c r="F383" s="17"/>
      <c r="G383" s="17"/>
      <c r="H383" s="17"/>
      <c r="I383" s="17"/>
      <c r="J383" s="11"/>
      <c r="K383" s="11"/>
      <c r="L383" s="11"/>
      <c r="M383" s="14" vm="259">
        <f ca="1"/>
        <v>45659</v>
      </c>
      <c r="N383" s="14" vm="260">
        <f ca="1"/>
        <v>75.19</v>
      </c>
      <c r="O383" s="14">
        <f t="shared" ca="1" si="2"/>
        <v>6.0632445104014984E-2</v>
      </c>
    </row>
    <row r="384" spans="3:15" x14ac:dyDescent="0.25">
      <c r="C384" s="10"/>
      <c r="D384" s="10"/>
      <c r="E384" s="17"/>
      <c r="F384" s="17"/>
      <c r="G384" s="17"/>
      <c r="H384" s="17"/>
      <c r="I384" s="17"/>
      <c r="J384" s="11"/>
      <c r="K384" s="11"/>
      <c r="L384" s="11"/>
      <c r="M384" s="14" vm="261">
        <f ca="1"/>
        <v>45660</v>
      </c>
      <c r="N384" s="14" vm="262">
        <f ca="1"/>
        <v>79.89</v>
      </c>
      <c r="O384" s="14">
        <f t="shared" ca="1" si="2"/>
        <v>-5.097053419227817E-2</v>
      </c>
    </row>
    <row r="385" spans="3:15" x14ac:dyDescent="0.25">
      <c r="C385" s="10"/>
      <c r="D385" s="10"/>
      <c r="E385" s="17"/>
      <c r="F385" s="17"/>
      <c r="G385" s="17"/>
      <c r="H385" s="17"/>
      <c r="I385" s="17"/>
      <c r="J385" s="11"/>
      <c r="K385" s="11"/>
      <c r="L385" s="11"/>
      <c r="M385" s="14" vm="263">
        <f ca="1"/>
        <v>45663</v>
      </c>
      <c r="N385" s="14" vm="264">
        <f ca="1"/>
        <v>75.92</v>
      </c>
      <c r="O385" s="14">
        <f t="shared" ca="1" si="2"/>
        <v>-8.1327779600224276E-2</v>
      </c>
    </row>
    <row r="386" spans="3:15" x14ac:dyDescent="0.25">
      <c r="C386" s="10"/>
      <c r="D386" s="10"/>
      <c r="E386" s="17"/>
      <c r="F386" s="17"/>
      <c r="G386" s="17"/>
      <c r="H386" s="17"/>
      <c r="I386" s="17"/>
      <c r="J386" s="11"/>
      <c r="K386" s="11"/>
      <c r="L386" s="11"/>
      <c r="M386" s="14" vm="265">
        <f ca="1"/>
        <v>45664</v>
      </c>
      <c r="N386" s="14" vm="266">
        <f ca="1"/>
        <v>69.989999999999995</v>
      </c>
      <c r="O386" s="14">
        <f t="shared" ca="1" si="2"/>
        <v>-2.5468023874115897E-2</v>
      </c>
    </row>
    <row r="387" spans="3:15" x14ac:dyDescent="0.25">
      <c r="C387" s="10"/>
      <c r="D387" s="10"/>
      <c r="E387" s="17"/>
      <c r="F387" s="17"/>
      <c r="G387" s="17"/>
      <c r="H387" s="17"/>
      <c r="I387" s="17"/>
      <c r="J387" s="11"/>
      <c r="K387" s="11"/>
      <c r="L387" s="11"/>
      <c r="M387" s="14" vm="267">
        <f ca="1"/>
        <v>45665</v>
      </c>
      <c r="N387" s="14" vm="268">
        <f ca="1"/>
        <v>68.23</v>
      </c>
      <c r="O387" s="14">
        <f t="shared" ca="1" si="2"/>
        <v>-1.4318644515208727E-2</v>
      </c>
    </row>
    <row r="388" spans="3:15" x14ac:dyDescent="0.25">
      <c r="C388" s="10"/>
      <c r="D388" s="10"/>
      <c r="E388" s="17"/>
      <c r="F388" s="17"/>
      <c r="G388" s="17"/>
      <c r="H388" s="17"/>
      <c r="I388" s="17"/>
      <c r="J388" s="11"/>
      <c r="K388" s="11"/>
      <c r="L388" s="11"/>
      <c r="M388" s="14" vm="269">
        <f ca="1"/>
        <v>45667</v>
      </c>
      <c r="N388" s="14" vm="270">
        <f ca="1"/>
        <v>67.260000000000005</v>
      </c>
      <c r="O388" s="14">
        <f t="shared" ca="1" si="2"/>
        <v>-3.4486176071169321E-2</v>
      </c>
    </row>
    <row r="389" spans="3:15" x14ac:dyDescent="0.25">
      <c r="C389" s="10"/>
      <c r="D389" s="10"/>
      <c r="E389" s="17"/>
      <c r="F389" s="17"/>
      <c r="G389" s="17"/>
      <c r="H389" s="17"/>
      <c r="I389" s="17"/>
      <c r="J389" s="11"/>
      <c r="K389" s="11"/>
      <c r="L389" s="11"/>
      <c r="M389" s="14" vm="271">
        <f ca="1"/>
        <v>45670</v>
      </c>
      <c r="N389" s="14" vm="272">
        <f ca="1"/>
        <v>64.98</v>
      </c>
      <c r="O389" s="14">
        <f t="shared" ca="1" si="2"/>
        <v>1.4210644823674262E-2</v>
      </c>
    </row>
    <row r="390" spans="3:15" x14ac:dyDescent="0.25">
      <c r="C390" s="10"/>
      <c r="D390" s="10"/>
      <c r="E390" s="17"/>
      <c r="F390" s="17"/>
      <c r="G390" s="17"/>
      <c r="H390" s="17"/>
      <c r="I390" s="17"/>
      <c r="J390" s="11"/>
      <c r="K390" s="11"/>
      <c r="L390" s="11"/>
      <c r="M390" s="14" vm="273">
        <f ca="1"/>
        <v>45671</v>
      </c>
      <c r="N390" s="14" vm="274">
        <f ca="1"/>
        <v>65.91</v>
      </c>
      <c r="O390" s="14">
        <f t="shared" ca="1" si="2"/>
        <v>3.3274237168191959E-2</v>
      </c>
    </row>
    <row r="391" spans="3:15" x14ac:dyDescent="0.25">
      <c r="C391" s="10"/>
      <c r="D391" s="10"/>
      <c r="E391" s="17"/>
      <c r="F391" s="17"/>
      <c r="G391" s="17"/>
      <c r="H391" s="17"/>
      <c r="I391" s="17"/>
      <c r="J391" s="11"/>
      <c r="K391" s="11"/>
      <c r="L391" s="11"/>
      <c r="M391" s="14" vm="275">
        <f ca="1"/>
        <v>45672</v>
      </c>
      <c r="N391" s="14" vm="276">
        <f ca="1"/>
        <v>68.14</v>
      </c>
      <c r="O391" s="14">
        <f t="shared" ca="1" si="2"/>
        <v>1.6014318075187838E-2</v>
      </c>
    </row>
    <row r="392" spans="3:15" x14ac:dyDescent="0.25">
      <c r="C392" s="10"/>
      <c r="D392" s="10"/>
      <c r="E392" s="17"/>
      <c r="F392" s="17"/>
      <c r="G392" s="17"/>
      <c r="H392" s="17"/>
      <c r="I392" s="17"/>
      <c r="J392" s="11"/>
      <c r="K392" s="11"/>
      <c r="L392" s="11"/>
      <c r="M392" s="14" vm="277">
        <f ca="1"/>
        <v>45673</v>
      </c>
      <c r="N392" s="14" vm="278">
        <f ca="1"/>
        <v>69.239999999999995</v>
      </c>
      <c r="O392" s="14">
        <f t="shared" ca="1" si="2"/>
        <v>3.5887831133972113E-2</v>
      </c>
    </row>
    <row r="393" spans="3:15" x14ac:dyDescent="0.25">
      <c r="C393" s="10"/>
      <c r="D393" s="10"/>
      <c r="E393" s="17"/>
      <c r="F393" s="17"/>
      <c r="G393" s="17"/>
      <c r="H393" s="17"/>
      <c r="I393" s="17"/>
      <c r="J393" s="11"/>
      <c r="K393" s="11"/>
      <c r="L393" s="11"/>
      <c r="M393" s="14" vm="279">
        <f ca="1"/>
        <v>45674</v>
      </c>
      <c r="N393" s="14" vm="280">
        <f ca="1"/>
        <v>71.77</v>
      </c>
      <c r="O393" s="14">
        <f t="shared" ca="1" si="2"/>
        <v>1.7951324361145791E-2</v>
      </c>
    </row>
    <row r="394" spans="3:15" x14ac:dyDescent="0.25">
      <c r="C394" s="10"/>
      <c r="D394" s="10"/>
      <c r="E394" s="17"/>
      <c r="F394" s="17"/>
      <c r="G394" s="17"/>
      <c r="H394" s="17"/>
      <c r="I394" s="17"/>
      <c r="J394" s="11"/>
      <c r="K394" s="11"/>
      <c r="L394" s="11"/>
      <c r="M394" s="14" vm="281">
        <f ca="1"/>
        <v>45678</v>
      </c>
      <c r="N394" s="14" vm="282">
        <f ca="1"/>
        <v>73.069999999999993</v>
      </c>
      <c r="O394" s="14">
        <f t="shared" ca="1" si="2"/>
        <v>5.0697797557914405E-2</v>
      </c>
    </row>
    <row r="395" spans="3:15" x14ac:dyDescent="0.25">
      <c r="C395" s="10"/>
      <c r="D395" s="10"/>
      <c r="E395" s="17"/>
      <c r="F395" s="17"/>
      <c r="G395" s="17"/>
      <c r="H395" s="17"/>
      <c r="I395" s="17"/>
      <c r="J395" s="11"/>
      <c r="K395" s="11"/>
      <c r="L395" s="11"/>
      <c r="M395" s="14" vm="283">
        <f ca="1"/>
        <v>45679</v>
      </c>
      <c r="N395" s="14" vm="284">
        <f ca="1"/>
        <v>76.87</v>
      </c>
      <c r="O395" s="14">
        <f t="shared" ca="1" si="2"/>
        <v>2.7078972497462831E-2</v>
      </c>
    </row>
    <row r="396" spans="3:15" x14ac:dyDescent="0.25">
      <c r="C396" s="10"/>
      <c r="D396" s="10"/>
      <c r="E396" s="17"/>
      <c r="F396" s="17"/>
      <c r="G396" s="17"/>
      <c r="H396" s="17"/>
      <c r="I396" s="17"/>
      <c r="J396" s="11"/>
      <c r="K396" s="11"/>
      <c r="L396" s="11"/>
      <c r="M396" s="14" vm="285">
        <f ca="1"/>
        <v>45680</v>
      </c>
      <c r="N396" s="14" vm="286">
        <f ca="1"/>
        <v>78.98</v>
      </c>
      <c r="O396" s="14">
        <f t="shared" ca="1" si="2"/>
        <v>0</v>
      </c>
    </row>
    <row r="397" spans="3:15" x14ac:dyDescent="0.25">
      <c r="C397" s="10"/>
      <c r="D397" s="10"/>
      <c r="E397" s="17"/>
      <c r="F397" s="17"/>
      <c r="G397" s="17"/>
      <c r="H397" s="17"/>
      <c r="I397" s="17"/>
      <c r="J397" s="11"/>
      <c r="K397" s="11"/>
      <c r="L397" s="11"/>
      <c r="M397" s="14" vm="287">
        <f ca="1"/>
        <v>45681</v>
      </c>
      <c r="N397" s="14" vm="286">
        <f ca="1"/>
        <v>78.98</v>
      </c>
      <c r="O397" s="14">
        <f t="shared" ca="1" si="2"/>
        <v>-4.5857017533301417E-2</v>
      </c>
    </row>
    <row r="398" spans="3:15" x14ac:dyDescent="0.25">
      <c r="C398" s="10"/>
      <c r="D398" s="10"/>
      <c r="E398" s="17"/>
      <c r="F398" s="17"/>
      <c r="G398" s="17"/>
      <c r="H398" s="17"/>
      <c r="I398" s="17"/>
      <c r="J398" s="11"/>
      <c r="K398" s="11"/>
      <c r="L398" s="11"/>
      <c r="M398" s="14" vm="288">
        <f ca="1"/>
        <v>45684</v>
      </c>
      <c r="N398" s="14" vm="289">
        <f ca="1"/>
        <v>75.44</v>
      </c>
      <c r="O398" s="14">
        <f t="shared" ca="1" si="2"/>
        <v>6.15598714403627E-2</v>
      </c>
    </row>
    <row r="399" spans="3:15" x14ac:dyDescent="0.25">
      <c r="C399" s="10"/>
      <c r="D399" s="10"/>
      <c r="E399" s="17"/>
      <c r="F399" s="17"/>
      <c r="G399" s="17"/>
      <c r="H399" s="17"/>
      <c r="I399" s="17"/>
      <c r="J399" s="11"/>
      <c r="K399" s="11"/>
      <c r="L399" s="11"/>
      <c r="M399" s="14" vm="290">
        <f ca="1"/>
        <v>45685</v>
      </c>
      <c r="N399" s="14" vm="291">
        <f ca="1"/>
        <v>80.23</v>
      </c>
      <c r="O399" s="14">
        <f t="shared" ca="1" si="2"/>
        <v>-5.8753841119816679E-3</v>
      </c>
    </row>
    <row r="400" spans="3:15" x14ac:dyDescent="0.25">
      <c r="C400" s="10"/>
      <c r="D400" s="10"/>
      <c r="E400" s="17"/>
      <c r="F400" s="17"/>
      <c r="G400" s="17"/>
      <c r="H400" s="17"/>
      <c r="I400" s="17"/>
      <c r="J400" s="11"/>
      <c r="K400" s="11"/>
      <c r="L400" s="11"/>
      <c r="M400" s="14" vm="292">
        <f ca="1"/>
        <v>45686</v>
      </c>
      <c r="N400" s="14" vm="293">
        <f ca="1"/>
        <v>79.760000000000005</v>
      </c>
      <c r="O400" s="14">
        <f t="shared" ca="1" si="2"/>
        <v>1.8139396604568824E-2</v>
      </c>
    </row>
    <row r="401" spans="3:15" x14ac:dyDescent="0.25">
      <c r="C401" s="10"/>
      <c r="D401" s="10"/>
      <c r="E401" s="17"/>
      <c r="F401" s="17"/>
      <c r="G401" s="17"/>
      <c r="H401" s="17"/>
      <c r="I401" s="17"/>
      <c r="J401" s="11"/>
      <c r="K401" s="11"/>
      <c r="L401" s="11"/>
      <c r="M401" s="14" vm="294">
        <f ca="1"/>
        <v>45687</v>
      </c>
      <c r="N401" s="14" vm="295">
        <f ca="1"/>
        <v>81.22</v>
      </c>
      <c r="O401" s="14">
        <f t="shared" ca="1" si="2"/>
        <v>1.5515551614488513E-2</v>
      </c>
    </row>
    <row r="402" spans="3:15" x14ac:dyDescent="0.25">
      <c r="C402" s="10"/>
      <c r="D402" s="10"/>
      <c r="E402" s="17"/>
      <c r="F402" s="17"/>
      <c r="G402" s="17"/>
      <c r="H402" s="17"/>
      <c r="I402" s="17"/>
      <c r="J402" s="11"/>
      <c r="K402" s="11"/>
      <c r="L402" s="11"/>
      <c r="M402" s="14" vm="296">
        <f ca="1"/>
        <v>45688</v>
      </c>
      <c r="N402" s="14" vm="297">
        <f ca="1"/>
        <v>82.49</v>
      </c>
      <c r="O402" s="14">
        <f t="shared" ca="1" si="2"/>
        <v>1.5039686718356985E-2</v>
      </c>
    </row>
    <row r="403" spans="3:15" x14ac:dyDescent="0.25">
      <c r="C403" s="10"/>
      <c r="D403" s="10"/>
      <c r="E403" s="17"/>
      <c r="F403" s="17"/>
      <c r="G403" s="17"/>
      <c r="H403" s="17"/>
      <c r="I403" s="17"/>
      <c r="J403" s="11"/>
      <c r="K403" s="11"/>
      <c r="L403" s="11"/>
      <c r="M403" s="14" vm="298">
        <f ca="1"/>
        <v>45691</v>
      </c>
      <c r="N403" s="14" vm="299">
        <f ca="1"/>
        <v>83.74</v>
      </c>
      <c r="O403" s="14">
        <f t="shared" ca="1" si="2"/>
        <v>0.21503818572436537</v>
      </c>
    </row>
    <row r="404" spans="3:15" x14ac:dyDescent="0.25">
      <c r="C404" s="10"/>
      <c r="D404" s="10"/>
      <c r="E404" s="17"/>
      <c r="F404" s="17"/>
      <c r="G404" s="17"/>
      <c r="H404" s="17"/>
      <c r="I404" s="17"/>
      <c r="J404" s="11"/>
      <c r="K404" s="11"/>
      <c r="L404" s="11"/>
      <c r="M404" s="14" vm="300">
        <f ca="1"/>
        <v>45692</v>
      </c>
      <c r="N404" s="14" vm="301">
        <f ca="1"/>
        <v>103.83</v>
      </c>
      <c r="O404" s="14">
        <f t="shared" ca="1" si="2"/>
        <v>-2.4076410302478903E-2</v>
      </c>
    </row>
    <row r="405" spans="3:15" x14ac:dyDescent="0.25">
      <c r="C405" s="10"/>
      <c r="D405" s="10"/>
      <c r="E405" s="17"/>
      <c r="F405" s="17"/>
      <c r="G405" s="17"/>
      <c r="H405" s="17"/>
      <c r="I405" s="17"/>
      <c r="J405" s="11"/>
      <c r="K405" s="11"/>
      <c r="L405" s="11"/>
      <c r="M405" s="14" vm="302">
        <f ca="1"/>
        <v>45693</v>
      </c>
      <c r="N405" s="14" vm="303">
        <f ca="1"/>
        <v>101.36</v>
      </c>
      <c r="O405" s="14">
        <f t="shared" ca="1" si="2"/>
        <v>9.337101160230378E-2</v>
      </c>
    </row>
    <row r="406" spans="3:15" x14ac:dyDescent="0.25">
      <c r="C406" s="10"/>
      <c r="D406" s="10"/>
      <c r="E406" s="17"/>
      <c r="F406" s="17"/>
      <c r="G406" s="17"/>
      <c r="H406" s="17"/>
      <c r="I406" s="17"/>
      <c r="J406" s="11"/>
      <c r="K406" s="11"/>
      <c r="L406" s="11"/>
      <c r="M406" s="14" vm="304">
        <f ca="1"/>
        <v>45694</v>
      </c>
      <c r="N406" s="14" vm="305">
        <f ca="1"/>
        <v>111.28</v>
      </c>
      <c r="O406" s="14">
        <f t="shared" ca="1" si="2"/>
        <v>-3.8716115528670482E-3</v>
      </c>
    </row>
    <row r="407" spans="3:15" x14ac:dyDescent="0.25">
      <c r="C407" s="10"/>
      <c r="D407" s="10"/>
      <c r="E407" s="17"/>
      <c r="F407" s="17"/>
      <c r="G407" s="17"/>
      <c r="H407" s="17"/>
      <c r="I407" s="17"/>
      <c r="J407" s="11"/>
      <c r="K407" s="11"/>
      <c r="L407" s="11"/>
      <c r="M407" s="14" vm="306">
        <f ca="1"/>
        <v>45695</v>
      </c>
      <c r="N407" s="14" vm="307">
        <f ca="1"/>
        <v>110.85</v>
      </c>
      <c r="O407" s="14">
        <f t="shared" ca="1" si="2"/>
        <v>5.1000062405118674E-2</v>
      </c>
    </row>
    <row r="408" spans="3:15" x14ac:dyDescent="0.25">
      <c r="C408" s="10"/>
      <c r="D408" s="10"/>
      <c r="E408" s="17"/>
      <c r="F408" s="17"/>
      <c r="G408" s="17"/>
      <c r="H408" s="17"/>
      <c r="I408" s="17"/>
      <c r="J408" s="11"/>
      <c r="K408" s="11"/>
      <c r="L408" s="11"/>
      <c r="M408" s="14" vm="308">
        <f ca="1"/>
        <v>45698</v>
      </c>
      <c r="N408" s="14" vm="309">
        <f ca="1"/>
        <v>116.65</v>
      </c>
      <c r="O408" s="14">
        <f t="shared" ca="1" si="2"/>
        <v>-3.5158678640966584E-2</v>
      </c>
    </row>
    <row r="409" spans="3:15" x14ac:dyDescent="0.25">
      <c r="C409" s="10"/>
      <c r="D409" s="10"/>
      <c r="E409" s="17"/>
      <c r="F409" s="17"/>
      <c r="G409" s="17"/>
      <c r="H409" s="17"/>
      <c r="I409" s="17"/>
      <c r="J409" s="11"/>
      <c r="K409" s="11"/>
      <c r="L409" s="11"/>
      <c r="M409" s="14" vm="310">
        <f ca="1"/>
        <v>45699</v>
      </c>
      <c r="N409" s="14" vm="311">
        <f ca="1"/>
        <v>112.62</v>
      </c>
      <c r="O409" s="14">
        <f t="shared" ca="1" si="2"/>
        <v>4.1482405063958248E-2</v>
      </c>
    </row>
    <row r="410" spans="3:15" x14ac:dyDescent="0.25">
      <c r="C410" s="10"/>
      <c r="D410" s="10"/>
      <c r="E410" s="17"/>
      <c r="F410" s="17"/>
      <c r="G410" s="17"/>
      <c r="H410" s="17"/>
      <c r="I410" s="17"/>
      <c r="J410" s="11"/>
      <c r="K410" s="11"/>
      <c r="L410" s="11"/>
      <c r="M410" s="14" vm="312">
        <f ca="1"/>
        <v>45700</v>
      </c>
      <c r="N410" s="14" vm="313">
        <f ca="1"/>
        <v>117.39</v>
      </c>
      <c r="O410" s="14">
        <f t="shared" ca="1" si="2"/>
        <v>4.4198966981510643E-3</v>
      </c>
    </row>
    <row r="411" spans="3:15" x14ac:dyDescent="0.25">
      <c r="C411" s="10"/>
      <c r="D411" s="10"/>
      <c r="E411" s="17"/>
      <c r="F411" s="17"/>
      <c r="G411" s="17"/>
      <c r="H411" s="17"/>
      <c r="I411" s="17"/>
      <c r="J411" s="11"/>
      <c r="K411" s="11"/>
      <c r="L411" s="11"/>
      <c r="M411" s="14" vm="314">
        <f ca="1"/>
        <v>45701</v>
      </c>
      <c r="N411" s="14" vm="315">
        <f ca="1"/>
        <v>117.91</v>
      </c>
      <c r="O411" s="14">
        <f t="shared" ca="1" si="2"/>
        <v>1.0545506256499542E-2</v>
      </c>
    </row>
    <row r="412" spans="3:15" x14ac:dyDescent="0.25">
      <c r="C412" s="10"/>
      <c r="D412" s="10"/>
      <c r="E412" s="17"/>
      <c r="F412" s="17"/>
      <c r="G412" s="17"/>
      <c r="H412" s="17"/>
      <c r="I412" s="17"/>
      <c r="J412" s="11"/>
      <c r="K412" s="11"/>
      <c r="L412" s="11"/>
      <c r="M412" s="14" vm="316">
        <f ca="1"/>
        <v>45702</v>
      </c>
      <c r="N412" s="14" vm="317">
        <f ca="1"/>
        <v>119.16</v>
      </c>
      <c r="O412" s="14">
        <f t="shared" ca="1" si="2"/>
        <v>4.4801979270994378E-2</v>
      </c>
    </row>
    <row r="413" spans="3:15" x14ac:dyDescent="0.25">
      <c r="C413" s="10"/>
      <c r="D413" s="10"/>
      <c r="E413" s="17"/>
      <c r="F413" s="17"/>
      <c r="G413" s="17"/>
      <c r="H413" s="17"/>
      <c r="I413" s="17"/>
      <c r="J413" s="11"/>
      <c r="K413" s="11"/>
      <c r="L413" s="11"/>
      <c r="M413" s="14" vm="318">
        <f ca="1"/>
        <v>45706</v>
      </c>
      <c r="N413" s="14" vm="319">
        <f ca="1"/>
        <v>124.62</v>
      </c>
      <c r="O413" s="14">
        <f t="shared" ca="1" si="2"/>
        <v>-0.10623466497893745</v>
      </c>
    </row>
    <row r="414" spans="3:15" x14ac:dyDescent="0.25">
      <c r="C414" s="10"/>
      <c r="D414" s="10"/>
      <c r="E414" s="17"/>
      <c r="F414" s="17"/>
      <c r="G414" s="17"/>
      <c r="H414" s="17"/>
      <c r="I414" s="17"/>
      <c r="J414" s="11"/>
      <c r="K414" s="11"/>
      <c r="L414" s="11"/>
      <c r="M414" s="14" vm="320">
        <f ca="1"/>
        <v>45707</v>
      </c>
      <c r="N414" s="14" vm="321">
        <f ca="1"/>
        <v>112.06</v>
      </c>
      <c r="O414" s="14">
        <f t="shared" ca="1" si="2"/>
        <v>-5.3051416752534754E-2</v>
      </c>
    </row>
    <row r="415" spans="3:15" x14ac:dyDescent="0.25">
      <c r="C415" s="10"/>
      <c r="D415" s="10"/>
      <c r="E415" s="17"/>
      <c r="F415" s="17"/>
      <c r="G415" s="17"/>
      <c r="H415" s="17"/>
      <c r="I415" s="17"/>
      <c r="J415" s="11"/>
      <c r="K415" s="11"/>
      <c r="L415" s="11"/>
      <c r="M415" s="14" vm="322">
        <f ca="1"/>
        <v>45708</v>
      </c>
      <c r="N415" s="14" vm="323">
        <f ca="1"/>
        <v>106.27</v>
      </c>
      <c r="O415" s="14">
        <f t="shared" ca="1" si="2"/>
        <v>-4.7403152486594713E-2</v>
      </c>
    </row>
    <row r="416" spans="3:15" x14ac:dyDescent="0.25">
      <c r="C416" s="10"/>
      <c r="D416" s="10"/>
      <c r="E416" s="17"/>
      <c r="F416" s="17"/>
      <c r="G416" s="17"/>
      <c r="H416" s="17"/>
      <c r="I416" s="17"/>
      <c r="J416" s="11"/>
      <c r="K416" s="11"/>
      <c r="L416" s="11"/>
      <c r="M416" s="14" vm="324">
        <f ca="1"/>
        <v>45709</v>
      </c>
      <c r="N416" s="14" vm="325">
        <f ca="1"/>
        <v>101.35</v>
      </c>
      <c r="O416" s="14">
        <f t="shared" ca="1" si="2"/>
        <v>-0.11124304725868073</v>
      </c>
    </row>
    <row r="417" spans="3:15" x14ac:dyDescent="0.25">
      <c r="C417" s="10"/>
      <c r="D417" s="10"/>
      <c r="E417" s="17"/>
      <c r="F417" s="17"/>
      <c r="G417" s="17"/>
      <c r="H417" s="17"/>
      <c r="I417" s="17"/>
      <c r="J417" s="11"/>
      <c r="K417" s="11"/>
      <c r="L417" s="11"/>
      <c r="M417" s="14" vm="326">
        <f ca="1"/>
        <v>45712</v>
      </c>
      <c r="N417" s="14" vm="327">
        <f ca="1"/>
        <v>90.68</v>
      </c>
      <c r="O417" s="14">
        <f t="shared" ca="1" si="2"/>
        <v>-3.1819847878107828E-2</v>
      </c>
    </row>
    <row r="418" spans="3:15" x14ac:dyDescent="0.25">
      <c r="C418" s="10"/>
      <c r="D418" s="10"/>
      <c r="E418" s="17"/>
      <c r="F418" s="17"/>
      <c r="G418" s="17"/>
      <c r="H418" s="17"/>
      <c r="I418" s="17"/>
      <c r="J418" s="11"/>
      <c r="K418" s="11"/>
      <c r="L418" s="11"/>
      <c r="M418" s="14" vm="328">
        <f ca="1"/>
        <v>45713</v>
      </c>
      <c r="N418" s="14" vm="329">
        <f ca="1"/>
        <v>87.84</v>
      </c>
      <c r="O418" s="14">
        <f t="shared" ca="1" si="2"/>
        <v>1.6596485934574183E-2</v>
      </c>
    </row>
    <row r="419" spans="3:15" x14ac:dyDescent="0.25">
      <c r="C419" s="10"/>
      <c r="D419" s="10"/>
      <c r="E419" s="17"/>
      <c r="F419" s="17"/>
      <c r="G419" s="17"/>
      <c r="H419" s="17"/>
      <c r="I419" s="17"/>
      <c r="J419" s="11"/>
      <c r="K419" s="11"/>
      <c r="L419" s="11"/>
      <c r="M419" s="14" vm="330">
        <f ca="1"/>
        <v>45714</v>
      </c>
      <c r="N419" s="14" vm="331">
        <f ca="1"/>
        <v>89.31</v>
      </c>
      <c r="O419" s="14">
        <f t="shared" ca="1" si="2"/>
        <v>-5.2171757075480621E-2</v>
      </c>
    </row>
    <row r="420" spans="3:15" x14ac:dyDescent="0.25">
      <c r="C420" s="10"/>
      <c r="D420" s="10"/>
      <c r="E420" s="17"/>
      <c r="F420" s="17"/>
      <c r="G420" s="17"/>
      <c r="H420" s="17"/>
      <c r="I420" s="17"/>
      <c r="J420" s="11"/>
      <c r="K420" s="11"/>
      <c r="L420" s="11"/>
      <c r="M420" s="14" vm="332">
        <f ca="1"/>
        <v>45715</v>
      </c>
      <c r="N420" s="14" vm="333">
        <f ca="1"/>
        <v>84.77</v>
      </c>
      <c r="O420" s="14">
        <f t="shared" ca="1" si="2"/>
        <v>1.7679302147413185E-3</v>
      </c>
    </row>
    <row r="421" spans="3:15" x14ac:dyDescent="0.25">
      <c r="C421" s="10"/>
      <c r="D421" s="10"/>
      <c r="E421" s="17"/>
      <c r="F421" s="17"/>
      <c r="G421" s="17"/>
      <c r="H421" s="17"/>
      <c r="I421" s="17"/>
      <c r="J421" s="11"/>
      <c r="K421" s="11"/>
      <c r="L421" s="11"/>
      <c r="M421" s="14" vm="334">
        <f ca="1"/>
        <v>45716</v>
      </c>
      <c r="N421" s="14" vm="335">
        <f ca="1"/>
        <v>84.92</v>
      </c>
      <c r="O421" s="14">
        <f t="shared" ca="1" si="2"/>
        <v>-1.7821548066256142E-2</v>
      </c>
    </row>
    <row r="422" spans="3:15" x14ac:dyDescent="0.25">
      <c r="C422" s="10"/>
      <c r="D422" s="10"/>
      <c r="E422" s="17"/>
      <c r="F422" s="17"/>
      <c r="G422" s="17"/>
      <c r="H422" s="17"/>
      <c r="I422" s="17"/>
      <c r="J422" s="11"/>
      <c r="K422" s="11"/>
      <c r="L422" s="11"/>
      <c r="M422" s="14" vm="336">
        <f ca="1"/>
        <v>45719</v>
      </c>
      <c r="N422" s="14" vm="337">
        <f ca="1"/>
        <v>83.42</v>
      </c>
      <c r="O422" s="14">
        <f t="shared" ca="1" si="2"/>
        <v>1.167931283311229E-2</v>
      </c>
    </row>
    <row r="423" spans="3:15" x14ac:dyDescent="0.25">
      <c r="C423" s="10"/>
      <c r="D423" s="10"/>
      <c r="E423" s="17"/>
      <c r="F423" s="17"/>
      <c r="G423" s="17"/>
      <c r="H423" s="17"/>
      <c r="I423" s="17"/>
      <c r="J423" s="11"/>
      <c r="K423" s="11"/>
      <c r="L423" s="11"/>
      <c r="M423" s="14" vm="338">
        <f ca="1"/>
        <v>45720</v>
      </c>
      <c r="N423" s="14" vm="339">
        <f ca="1"/>
        <v>84.4</v>
      </c>
      <c r="O423" s="14">
        <f t="shared" ca="1" si="2"/>
        <v>6.5685670966406928E-2</v>
      </c>
    </row>
    <row r="424" spans="3:15" x14ac:dyDescent="0.25">
      <c r="C424" s="10"/>
      <c r="D424" s="10"/>
      <c r="E424" s="17"/>
      <c r="F424" s="17"/>
      <c r="G424" s="17"/>
      <c r="H424" s="17"/>
      <c r="I424" s="17"/>
      <c r="J424" s="11"/>
      <c r="K424" s="11"/>
      <c r="L424" s="11"/>
      <c r="M424" s="14" vm="340">
        <f ca="1"/>
        <v>45721</v>
      </c>
      <c r="N424" s="14" vm="341">
        <f ca="1"/>
        <v>90.13</v>
      </c>
      <c r="O424" s="14">
        <f t="shared" ca="1" si="2"/>
        <v>-0.11349290604667631</v>
      </c>
    </row>
    <row r="425" spans="3:15" x14ac:dyDescent="0.25">
      <c r="C425" s="10"/>
      <c r="D425" s="10"/>
      <c r="E425" s="17"/>
      <c r="F425" s="17"/>
      <c r="G425" s="17"/>
      <c r="H425" s="17"/>
      <c r="I425" s="17"/>
      <c r="J425" s="11"/>
      <c r="K425" s="11"/>
      <c r="L425" s="11"/>
      <c r="M425" s="14" vm="342">
        <f ca="1"/>
        <v>45722</v>
      </c>
      <c r="N425" s="14" vm="343">
        <f ca="1"/>
        <v>80.459999999999994</v>
      </c>
      <c r="O425" s="14">
        <f t="shared" ca="1" si="2"/>
        <v>5.3831705489630045E-2</v>
      </c>
    </row>
    <row r="426" spans="3:15" x14ac:dyDescent="0.25">
      <c r="C426" s="10"/>
      <c r="D426" s="10"/>
      <c r="E426" s="17"/>
      <c r="F426" s="17"/>
      <c r="G426" s="17"/>
      <c r="H426" s="17"/>
      <c r="I426" s="17"/>
      <c r="J426" s="11"/>
      <c r="K426" s="11"/>
      <c r="L426" s="11"/>
      <c r="M426" s="14" vm="344">
        <f ca="1"/>
        <v>45723</v>
      </c>
      <c r="N426" s="14" vm="345">
        <f ca="1"/>
        <v>84.91</v>
      </c>
      <c r="O426" s="14">
        <f t="shared" ca="1" si="2"/>
        <v>-0.10587099021390192</v>
      </c>
    </row>
    <row r="427" spans="3:15" x14ac:dyDescent="0.25">
      <c r="C427" s="10"/>
      <c r="D427" s="10"/>
      <c r="E427" s="17"/>
      <c r="F427" s="17"/>
      <c r="G427" s="17"/>
      <c r="H427" s="17"/>
      <c r="I427" s="17"/>
      <c r="J427" s="11"/>
      <c r="K427" s="11"/>
      <c r="L427" s="11"/>
      <c r="M427" s="14" vm="346">
        <f ca="1"/>
        <v>45726</v>
      </c>
      <c r="N427" s="14" vm="347">
        <f ca="1"/>
        <v>76.38</v>
      </c>
      <c r="O427" s="14">
        <f t="shared" ca="1" si="2"/>
        <v>2.1628765164071001E-2</v>
      </c>
    </row>
    <row r="428" spans="3:15" x14ac:dyDescent="0.25">
      <c r="C428" s="10"/>
      <c r="D428" s="10"/>
      <c r="E428" s="17"/>
      <c r="F428" s="17"/>
      <c r="G428" s="17"/>
      <c r="H428" s="17"/>
      <c r="I428" s="17"/>
      <c r="J428" s="11"/>
      <c r="K428" s="11"/>
      <c r="L428" s="11"/>
      <c r="M428" s="14" vm="348">
        <f ca="1"/>
        <v>45727</v>
      </c>
      <c r="N428" s="14" vm="349">
        <f ca="1"/>
        <v>78.05</v>
      </c>
      <c r="O428" s="14">
        <f t="shared" ca="1" si="2"/>
        <v>6.9291780471392103E-2</v>
      </c>
    </row>
    <row r="429" spans="3:15" x14ac:dyDescent="0.25">
      <c r="C429" s="10"/>
      <c r="D429" s="10"/>
      <c r="E429" s="17"/>
      <c r="F429" s="17"/>
      <c r="G429" s="17"/>
      <c r="H429" s="17"/>
      <c r="I429" s="17"/>
      <c r="J429" s="11"/>
      <c r="K429" s="11"/>
      <c r="L429" s="11"/>
      <c r="M429" s="14" vm="350">
        <f ca="1"/>
        <v>45728</v>
      </c>
      <c r="N429" s="14" vm="351">
        <f ca="1"/>
        <v>83.65</v>
      </c>
      <c r="O429" s="14">
        <f t="shared" ca="1" si="2"/>
        <v>-4.9376109860661821E-2</v>
      </c>
    </row>
    <row r="430" spans="3:15" x14ac:dyDescent="0.25">
      <c r="C430" s="10"/>
      <c r="D430" s="10"/>
      <c r="E430" s="17"/>
      <c r="F430" s="17"/>
      <c r="G430" s="17"/>
      <c r="H430" s="17"/>
      <c r="I430" s="17"/>
      <c r="J430" s="11"/>
      <c r="K430" s="11"/>
      <c r="L430" s="11"/>
      <c r="M430" s="14" vm="352">
        <f ca="1"/>
        <v>45729</v>
      </c>
      <c r="N430" s="14" vm="353">
        <f ca="1"/>
        <v>79.62</v>
      </c>
      <c r="O430" s="14">
        <f t="shared" ca="1" si="2"/>
        <v>7.9868789588515829E-2</v>
      </c>
    </row>
    <row r="431" spans="3:15" x14ac:dyDescent="0.25">
      <c r="C431" s="10"/>
      <c r="D431" s="10"/>
      <c r="E431" s="17"/>
      <c r="F431" s="17"/>
      <c r="G431" s="17"/>
      <c r="H431" s="17"/>
      <c r="I431" s="17"/>
      <c r="J431" s="11"/>
      <c r="K431" s="11"/>
      <c r="L431" s="11"/>
      <c r="M431" s="14" vm="354">
        <f ca="1"/>
        <v>45730</v>
      </c>
      <c r="N431" s="14" vm="355">
        <f ca="1"/>
        <v>86.24</v>
      </c>
      <c r="O431" s="14">
        <f t="shared" ca="1" si="2"/>
        <v>1.2788929419378488E-2</v>
      </c>
    </row>
    <row r="432" spans="3:15" x14ac:dyDescent="0.25">
      <c r="C432" s="10"/>
      <c r="D432" s="10"/>
      <c r="E432" s="17"/>
      <c r="F432" s="17"/>
      <c r="G432" s="17"/>
      <c r="H432" s="17"/>
      <c r="I432" s="17"/>
      <c r="J432" s="11"/>
      <c r="K432" s="11"/>
      <c r="L432" s="11"/>
      <c r="M432" s="14" vm="356">
        <f ca="1"/>
        <v>45733</v>
      </c>
      <c r="N432" s="14" vm="357">
        <f ca="1"/>
        <v>87.35</v>
      </c>
      <c r="O432" s="14">
        <f t="shared" ca="1" si="2"/>
        <v>-4.0416619721862224E-2</v>
      </c>
    </row>
    <row r="433" spans="3:15" x14ac:dyDescent="0.25">
      <c r="C433" s="10"/>
      <c r="D433" s="10"/>
      <c r="E433" s="17"/>
      <c r="F433" s="17"/>
      <c r="G433" s="17"/>
      <c r="H433" s="17"/>
      <c r="I433" s="17"/>
      <c r="J433" s="11"/>
      <c r="K433" s="11"/>
      <c r="L433" s="11"/>
      <c r="M433" s="14" vm="358">
        <f ca="1"/>
        <v>45734</v>
      </c>
      <c r="N433" s="14" vm="359">
        <f ca="1"/>
        <v>83.89</v>
      </c>
      <c r="O433" s="14">
        <f t="shared" ca="1" si="2"/>
        <v>2.6002994575481851E-2</v>
      </c>
    </row>
    <row r="434" spans="3:15" x14ac:dyDescent="0.25">
      <c r="C434" s="10"/>
      <c r="D434" s="10"/>
      <c r="E434" s="17"/>
      <c r="F434" s="17"/>
      <c r="G434" s="17"/>
      <c r="H434" s="17"/>
      <c r="I434" s="17"/>
      <c r="J434" s="11"/>
      <c r="K434" s="11"/>
      <c r="L434" s="11"/>
      <c r="M434" s="14" vm="360">
        <f ca="1"/>
        <v>45735</v>
      </c>
      <c r="N434" s="14" vm="361">
        <f ca="1"/>
        <v>86.1</v>
      </c>
      <c r="O434" s="14">
        <f t="shared" ca="1" si="2"/>
        <v>1.4871448205767886E-2</v>
      </c>
    </row>
    <row r="435" spans="3:15" x14ac:dyDescent="0.25">
      <c r="C435" s="10"/>
      <c r="D435" s="10"/>
      <c r="E435" s="17"/>
      <c r="F435" s="17"/>
      <c r="G435" s="17"/>
      <c r="H435" s="17"/>
      <c r="I435" s="17"/>
      <c r="J435" s="11"/>
      <c r="K435" s="11"/>
      <c r="L435" s="11"/>
      <c r="M435" s="14" vm="362">
        <f ca="1"/>
        <v>45736</v>
      </c>
      <c r="N435" s="14" vm="363">
        <f ca="1"/>
        <v>87.39</v>
      </c>
      <c r="O435" s="14">
        <f t="shared" ca="1" si="2"/>
        <v>4.0038989802827565E-2</v>
      </c>
    </row>
    <row r="436" spans="3:15" x14ac:dyDescent="0.25">
      <c r="C436" s="10"/>
      <c r="D436" s="10"/>
      <c r="E436" s="17"/>
      <c r="F436" s="17"/>
      <c r="G436" s="17"/>
      <c r="H436" s="17"/>
      <c r="I436" s="17"/>
      <c r="J436" s="11"/>
      <c r="K436" s="11"/>
      <c r="L436" s="11"/>
      <c r="M436" s="14" vm="364">
        <f ca="1"/>
        <v>45737</v>
      </c>
      <c r="N436" s="14" vm="365">
        <f ca="1"/>
        <v>90.96</v>
      </c>
      <c r="O436" s="14">
        <f t="shared" ca="1" si="2"/>
        <v>6.1710482467610635E-2</v>
      </c>
    </row>
    <row r="437" spans="3:15" x14ac:dyDescent="0.25">
      <c r="C437" s="10"/>
      <c r="D437" s="10"/>
      <c r="E437" s="17"/>
      <c r="F437" s="17"/>
      <c r="G437" s="17"/>
      <c r="H437" s="17"/>
      <c r="I437" s="17"/>
      <c r="J437" s="11"/>
      <c r="K437" s="11"/>
      <c r="L437" s="11"/>
      <c r="M437" s="14" vm="366">
        <f ca="1"/>
        <v>45740</v>
      </c>
      <c r="N437" s="14" vm="367">
        <f ca="1"/>
        <v>96.75</v>
      </c>
      <c r="O437" s="14">
        <f t="shared" ca="1" si="2"/>
        <v>-2.5873235649509123E-3</v>
      </c>
    </row>
    <row r="438" spans="3:15" x14ac:dyDescent="0.25">
      <c r="C438" s="10"/>
      <c r="D438" s="10"/>
      <c r="E438" s="17"/>
      <c r="F438" s="17"/>
      <c r="G438" s="17"/>
      <c r="H438" s="17"/>
      <c r="I438" s="17"/>
      <c r="J438" s="11"/>
      <c r="K438" s="11"/>
      <c r="L438" s="11"/>
      <c r="M438" s="14" vm="368">
        <f ca="1"/>
        <v>45741</v>
      </c>
      <c r="N438" s="14" vm="369">
        <f ca="1"/>
        <v>96.5</v>
      </c>
      <c r="O438" s="14">
        <f t="shared" ca="1" si="2"/>
        <v>-4.4715575039387265E-2</v>
      </c>
    </row>
    <row r="439" spans="3:15" x14ac:dyDescent="0.25">
      <c r="C439" s="10"/>
      <c r="D439" s="10"/>
      <c r="E439" s="17"/>
      <c r="F439" s="17"/>
      <c r="G439" s="17"/>
      <c r="H439" s="17"/>
      <c r="I439" s="17"/>
      <c r="J439" s="11"/>
      <c r="K439" s="11"/>
      <c r="L439" s="11"/>
      <c r="M439" s="14" vm="370">
        <f ca="1"/>
        <v>45742</v>
      </c>
      <c r="N439" s="14" vm="371">
        <f ca="1"/>
        <v>92.28</v>
      </c>
      <c r="O439" s="14">
        <f t="shared" ca="1" si="2"/>
        <v>-2.4018262642204274E-2</v>
      </c>
    </row>
    <row r="440" spans="3:15" x14ac:dyDescent="0.25">
      <c r="C440" s="10"/>
      <c r="D440" s="10"/>
      <c r="E440" s="17"/>
      <c r="F440" s="17"/>
      <c r="G440" s="17"/>
      <c r="H440" s="17"/>
      <c r="I440" s="17"/>
      <c r="J440" s="11"/>
      <c r="K440" s="11"/>
      <c r="L440" s="11"/>
      <c r="M440" s="14" vm="372">
        <f ca="1"/>
        <v>45743</v>
      </c>
      <c r="N440" s="14" vm="373">
        <f ca="1"/>
        <v>90.09</v>
      </c>
      <c r="O440" s="14">
        <f t="shared" ca="1" si="2"/>
        <v>-4.8207583319864217E-2</v>
      </c>
    </row>
    <row r="441" spans="3:15" x14ac:dyDescent="0.25">
      <c r="C441" s="10"/>
      <c r="D441" s="10"/>
      <c r="E441" s="17"/>
      <c r="F441" s="17"/>
      <c r="G441" s="17"/>
      <c r="H441" s="17"/>
      <c r="I441" s="17"/>
      <c r="J441" s="11"/>
      <c r="K441" s="11"/>
      <c r="L441" s="11"/>
      <c r="M441" s="14" vm="374">
        <f ca="1"/>
        <v>45744</v>
      </c>
      <c r="N441" s="14" vm="375">
        <f ca="1"/>
        <v>85.85</v>
      </c>
      <c r="O441" s="14">
        <f t="shared" ca="1" si="2"/>
        <v>-1.7034185741572921E-2</v>
      </c>
    </row>
    <row r="442" spans="3:15" x14ac:dyDescent="0.25">
      <c r="C442" s="10"/>
      <c r="D442" s="10"/>
      <c r="E442" s="17"/>
      <c r="F442" s="17"/>
      <c r="G442" s="17"/>
      <c r="H442" s="17"/>
      <c r="I442" s="17"/>
      <c r="J442" s="11"/>
      <c r="K442" s="11"/>
      <c r="L442" s="11"/>
      <c r="M442" s="14" vm="376">
        <f ca="1"/>
        <v>45747</v>
      </c>
      <c r="N442" s="14" vm="339">
        <f ca="1"/>
        <v>84.4</v>
      </c>
      <c r="O442" s="14">
        <f t="shared" ca="1" si="2"/>
        <v>3.3120446647529555E-3</v>
      </c>
    </row>
    <row r="443" spans="3:15" x14ac:dyDescent="0.25">
      <c r="C443" s="10"/>
      <c r="D443" s="10"/>
      <c r="E443" s="17"/>
      <c r="F443" s="17"/>
      <c r="G443" s="17"/>
      <c r="H443" s="17"/>
      <c r="I443" s="17"/>
      <c r="J443" s="11"/>
      <c r="K443" s="11"/>
      <c r="L443" s="11"/>
      <c r="M443" s="14" vm="377">
        <f ca="1"/>
        <v>45748</v>
      </c>
      <c r="N443" s="14" vm="378">
        <f ca="1"/>
        <v>84.68</v>
      </c>
      <c r="O443" s="14">
        <f t="shared" ca="1" si="2"/>
        <v>3.2187755197946581E-2</v>
      </c>
    </row>
    <row r="444" spans="3:15" x14ac:dyDescent="0.25">
      <c r="C444" s="10"/>
      <c r="D444" s="10"/>
      <c r="E444" s="17"/>
      <c r="F444" s="17"/>
      <c r="G444" s="17"/>
      <c r="H444" s="17"/>
      <c r="I444" s="17"/>
      <c r="J444" s="11"/>
      <c r="K444" s="11"/>
      <c r="L444" s="11"/>
      <c r="M444" s="14" vm="379">
        <f ca="1"/>
        <v>45749</v>
      </c>
      <c r="N444" s="14" vm="380">
        <f ca="1"/>
        <v>87.45</v>
      </c>
      <c r="O444" s="14">
        <f t="shared" ca="1" si="2"/>
        <v>-4.5023681373955245E-2</v>
      </c>
    </row>
    <row r="445" spans="3:15" x14ac:dyDescent="0.25">
      <c r="C445" s="10"/>
      <c r="D445" s="10"/>
      <c r="E445" s="17"/>
      <c r="F445" s="17"/>
      <c r="G445" s="17"/>
      <c r="H445" s="17"/>
      <c r="I445" s="17"/>
      <c r="J445" s="11"/>
      <c r="K445" s="11"/>
      <c r="L445" s="11"/>
      <c r="M445" s="14" vm="381">
        <f ca="1"/>
        <v>45750</v>
      </c>
      <c r="N445" s="14" vm="382">
        <f ca="1"/>
        <v>83.6</v>
      </c>
      <c r="O445" s="14">
        <f t="shared" ca="1" si="2"/>
        <v>-0.12184330088128081</v>
      </c>
    </row>
    <row r="446" spans="3:15" x14ac:dyDescent="0.25">
      <c r="C446" s="10"/>
      <c r="D446" s="10"/>
      <c r="E446" s="17"/>
      <c r="F446" s="17"/>
      <c r="G446" s="17"/>
      <c r="H446" s="17"/>
      <c r="I446" s="17"/>
      <c r="J446" s="11"/>
      <c r="K446" s="11"/>
      <c r="L446" s="11"/>
      <c r="M446" s="14" vm="383">
        <f ca="1"/>
        <v>45751</v>
      </c>
      <c r="N446" s="14" vm="384">
        <f ca="1"/>
        <v>74.010000000000005</v>
      </c>
      <c r="O446" s="14">
        <f t="shared" ref="O446:O500" ca="1" si="3">LN(N447/N446)</f>
        <v>5.0455218668374664E-2</v>
      </c>
    </row>
    <row r="447" spans="3:15" x14ac:dyDescent="0.25">
      <c r="C447" s="10"/>
      <c r="D447" s="10"/>
      <c r="E447" s="17"/>
      <c r="F447" s="17"/>
      <c r="G447" s="17"/>
      <c r="H447" s="17"/>
      <c r="I447" s="17"/>
      <c r="J447" s="11"/>
      <c r="K447" s="11"/>
      <c r="L447" s="11"/>
      <c r="M447" s="14" vm="385">
        <f ca="1"/>
        <v>45754</v>
      </c>
      <c r="N447" s="14" vm="386">
        <f ca="1"/>
        <v>77.84</v>
      </c>
      <c r="O447" s="14">
        <f t="shared" ca="1" si="3"/>
        <v>-6.7027835376196245E-3</v>
      </c>
    </row>
    <row r="448" spans="3:15" x14ac:dyDescent="0.25">
      <c r="C448" s="10"/>
      <c r="D448" s="10"/>
      <c r="E448" s="17"/>
      <c r="F448" s="17"/>
      <c r="G448" s="17"/>
      <c r="H448" s="17"/>
      <c r="I448" s="17"/>
      <c r="J448" s="11"/>
      <c r="K448" s="11"/>
      <c r="L448" s="11"/>
      <c r="M448" s="14" vm="387">
        <f ca="1"/>
        <v>45755</v>
      </c>
      <c r="N448" s="14" vm="388">
        <f ca="1"/>
        <v>77.319999999999993</v>
      </c>
      <c r="O448" s="14">
        <f t="shared" ca="1" si="3"/>
        <v>0.17394461245413989</v>
      </c>
    </row>
    <row r="449" spans="3:15" x14ac:dyDescent="0.25">
      <c r="C449" s="10"/>
      <c r="D449" s="10"/>
      <c r="E449" s="17"/>
      <c r="F449" s="17"/>
      <c r="G449" s="17"/>
      <c r="H449" s="17"/>
      <c r="I449" s="17"/>
      <c r="J449" s="11"/>
      <c r="K449" s="11"/>
      <c r="L449" s="11"/>
      <c r="M449" s="14" vm="389">
        <f ca="1"/>
        <v>45756</v>
      </c>
      <c r="N449" s="14" vm="390">
        <f ca="1"/>
        <v>92.01</v>
      </c>
      <c r="O449" s="14">
        <f t="shared" ca="1" si="3"/>
        <v>-3.787828237032885E-2</v>
      </c>
    </row>
    <row r="450" spans="3:15" x14ac:dyDescent="0.25">
      <c r="C450" s="10"/>
      <c r="D450" s="10"/>
      <c r="E450" s="17"/>
      <c r="F450" s="17"/>
      <c r="G450" s="17"/>
      <c r="H450" s="17"/>
      <c r="I450" s="17"/>
      <c r="J450" s="11"/>
      <c r="K450" s="11"/>
      <c r="L450" s="11"/>
      <c r="M450" s="14" vm="391">
        <f ca="1"/>
        <v>45757</v>
      </c>
      <c r="N450" s="14" vm="392">
        <f ca="1"/>
        <v>88.59</v>
      </c>
      <c r="O450" s="14">
        <f t="shared" ca="1" si="3"/>
        <v>-4.5162019509853842E-4</v>
      </c>
    </row>
    <row r="451" spans="3:15" x14ac:dyDescent="0.25">
      <c r="C451" s="10"/>
      <c r="D451" s="10"/>
      <c r="E451" s="17"/>
      <c r="F451" s="17"/>
      <c r="G451" s="17"/>
      <c r="H451" s="17"/>
      <c r="I451" s="17"/>
      <c r="J451" s="11"/>
      <c r="K451" s="11"/>
      <c r="L451" s="11"/>
      <c r="M451" s="14" vm="393">
        <f ca="1"/>
        <v>45758</v>
      </c>
      <c r="N451" s="14" vm="394">
        <f ca="1"/>
        <v>88.55</v>
      </c>
      <c r="O451" s="14">
        <f t="shared" ca="1" si="3"/>
        <v>4.4937736823763376E-2</v>
      </c>
    </row>
    <row r="452" spans="3:15" x14ac:dyDescent="0.25">
      <c r="C452" s="10"/>
      <c r="D452" s="10"/>
      <c r="E452" s="17"/>
      <c r="F452" s="17"/>
      <c r="G452" s="17"/>
      <c r="H452" s="17"/>
      <c r="I452" s="17"/>
      <c r="J452" s="11"/>
      <c r="K452" s="11"/>
      <c r="L452" s="11"/>
      <c r="M452" s="14" vm="395">
        <f ca="1"/>
        <v>45761</v>
      </c>
      <c r="N452" s="14" vm="396">
        <f ca="1"/>
        <v>92.62</v>
      </c>
      <c r="O452" s="14">
        <f t="shared" ca="1" si="3"/>
        <v>6.0535703005601883E-2</v>
      </c>
    </row>
    <row r="453" spans="3:15" x14ac:dyDescent="0.25">
      <c r="C453" s="10"/>
      <c r="D453" s="10"/>
      <c r="E453" s="17"/>
      <c r="F453" s="17"/>
      <c r="G453" s="17"/>
      <c r="H453" s="17"/>
      <c r="I453" s="17"/>
      <c r="J453" s="11"/>
      <c r="K453" s="11"/>
      <c r="L453" s="11"/>
      <c r="M453" s="14" vm="397">
        <f ca="1"/>
        <v>45762</v>
      </c>
      <c r="N453" s="14" vm="398">
        <f ca="1"/>
        <v>98.4</v>
      </c>
      <c r="O453" s="14">
        <f t="shared" ca="1" si="3"/>
        <v>-5.9564462439316859E-2</v>
      </c>
    </row>
    <row r="454" spans="3:15" x14ac:dyDescent="0.25">
      <c r="C454" s="10"/>
      <c r="D454" s="10"/>
      <c r="E454" s="17"/>
      <c r="F454" s="17"/>
      <c r="G454" s="17"/>
      <c r="H454" s="17"/>
      <c r="I454" s="17"/>
      <c r="J454" s="11"/>
      <c r="K454" s="11"/>
      <c r="L454" s="11"/>
      <c r="M454" s="14" vm="399">
        <f ca="1"/>
        <v>45763</v>
      </c>
      <c r="N454" s="14" vm="400">
        <f ca="1"/>
        <v>92.71</v>
      </c>
      <c r="O454" s="14">
        <f t="shared" ca="1" si="3"/>
        <v>1.1475272042549303E-2</v>
      </c>
    </row>
    <row r="455" spans="3:15" x14ac:dyDescent="0.25">
      <c r="C455" s="10"/>
      <c r="D455" s="10"/>
      <c r="E455" s="17"/>
      <c r="F455" s="17"/>
      <c r="G455" s="17"/>
      <c r="H455" s="17"/>
      <c r="I455" s="17"/>
      <c r="J455" s="11"/>
      <c r="K455" s="11"/>
      <c r="L455" s="11"/>
      <c r="M455" s="14" vm="401">
        <f ca="1"/>
        <v>45764</v>
      </c>
      <c r="N455" s="14" vm="402">
        <f ca="1"/>
        <v>93.78</v>
      </c>
      <c r="O455" s="14">
        <f t="shared" ca="1" si="3"/>
        <v>-3.2292328054192701E-2</v>
      </c>
    </row>
    <row r="456" spans="3:15" x14ac:dyDescent="0.25">
      <c r="C456" s="10"/>
      <c r="D456" s="10"/>
      <c r="E456" s="17"/>
      <c r="F456" s="17"/>
      <c r="G456" s="17"/>
      <c r="H456" s="17"/>
      <c r="I456" s="17"/>
      <c r="J456" s="11"/>
      <c r="K456" s="11"/>
      <c r="L456" s="11"/>
      <c r="M456" s="14" vm="403">
        <f ca="1"/>
        <v>45768</v>
      </c>
      <c r="N456" s="14" vm="404">
        <f ca="1"/>
        <v>90.8</v>
      </c>
      <c r="O456" s="14">
        <f t="shared" ca="1" si="3"/>
        <v>3.4529108024962459E-2</v>
      </c>
    </row>
    <row r="457" spans="3:15" x14ac:dyDescent="0.25">
      <c r="C457" s="10"/>
      <c r="D457" s="10"/>
      <c r="E457" s="17"/>
      <c r="F457" s="17"/>
      <c r="G457" s="17"/>
      <c r="H457" s="17"/>
      <c r="I457" s="17"/>
      <c r="J457" s="11"/>
      <c r="K457" s="11"/>
      <c r="L457" s="11"/>
      <c r="M457" s="14" vm="405">
        <f ca="1"/>
        <v>45769</v>
      </c>
      <c r="N457" s="14" vm="406">
        <f ca="1"/>
        <v>93.99</v>
      </c>
      <c r="O457" s="14">
        <f t="shared" ca="1" si="3"/>
        <v>7.0148355022274692E-2</v>
      </c>
    </row>
    <row r="458" spans="3:15" x14ac:dyDescent="0.25">
      <c r="C458" s="10"/>
      <c r="D458" s="10"/>
      <c r="E458" s="17"/>
      <c r="F458" s="17"/>
      <c r="G458" s="17"/>
      <c r="H458" s="17"/>
      <c r="I458" s="17"/>
      <c r="J458" s="11"/>
      <c r="K458" s="11"/>
      <c r="L458" s="11"/>
      <c r="M458" s="14" vm="407">
        <f ca="1"/>
        <v>45770</v>
      </c>
      <c r="N458" s="14" vm="408">
        <f ca="1"/>
        <v>100.82</v>
      </c>
      <c r="O458" s="14">
        <f t="shared" ca="1" si="3"/>
        <v>6.675536385086589E-2</v>
      </c>
    </row>
    <row r="459" spans="3:15" x14ac:dyDescent="0.25">
      <c r="C459" s="10"/>
      <c r="D459" s="10"/>
      <c r="E459" s="17"/>
      <c r="F459" s="17"/>
      <c r="G459" s="17"/>
      <c r="H459" s="17"/>
      <c r="I459" s="17"/>
      <c r="J459" s="11"/>
      <c r="K459" s="11"/>
      <c r="L459" s="11"/>
      <c r="M459" s="14" vm="409">
        <f ca="1"/>
        <v>45771</v>
      </c>
      <c r="N459" s="14" vm="410">
        <f ca="1"/>
        <v>107.78</v>
      </c>
      <c r="O459" s="14">
        <f t="shared" ca="1" si="3"/>
        <v>4.5346905873685485E-2</v>
      </c>
    </row>
    <row r="460" spans="3:15" x14ac:dyDescent="0.25">
      <c r="C460" s="10"/>
      <c r="D460" s="10"/>
      <c r="E460" s="17"/>
      <c r="F460" s="17"/>
      <c r="G460" s="17"/>
      <c r="H460" s="17"/>
      <c r="I460" s="17"/>
      <c r="J460" s="11"/>
      <c r="K460" s="11"/>
      <c r="L460" s="11"/>
      <c r="M460" s="14" vm="411">
        <f ca="1"/>
        <v>45772</v>
      </c>
      <c r="N460" s="14" vm="412">
        <f ca="1"/>
        <v>112.78</v>
      </c>
      <c r="O460" s="14">
        <f t="shared" ca="1" si="3"/>
        <v>1.644499092487732E-2</v>
      </c>
    </row>
    <row r="461" spans="3:15" x14ac:dyDescent="0.25">
      <c r="C461" s="10"/>
      <c r="D461" s="10"/>
      <c r="E461" s="17"/>
      <c r="F461" s="17"/>
      <c r="G461" s="17"/>
      <c r="H461" s="17"/>
      <c r="I461" s="17"/>
      <c r="J461" s="11"/>
      <c r="K461" s="11"/>
      <c r="L461" s="11"/>
      <c r="M461" s="14" vm="413">
        <f ca="1"/>
        <v>45775</v>
      </c>
      <c r="N461" s="14" vm="414">
        <f ca="1"/>
        <v>114.65</v>
      </c>
      <c r="O461" s="14">
        <f t="shared" ca="1" si="3"/>
        <v>1.2395599272018885E-2</v>
      </c>
    </row>
    <row r="462" spans="3:15" x14ac:dyDescent="0.25">
      <c r="C462" s="10"/>
      <c r="D462" s="10"/>
      <c r="E462" s="17"/>
      <c r="F462" s="17"/>
      <c r="G462" s="17"/>
      <c r="H462" s="17"/>
      <c r="I462" s="17"/>
      <c r="J462" s="11"/>
      <c r="K462" s="11"/>
      <c r="L462" s="11"/>
      <c r="M462" s="14" vm="415">
        <f ca="1"/>
        <v>45776</v>
      </c>
      <c r="N462" s="14" vm="416">
        <f ca="1"/>
        <v>116.08</v>
      </c>
      <c r="O462" s="14">
        <f t="shared" ca="1" si="3"/>
        <v>2.012689465745807E-2</v>
      </c>
    </row>
    <row r="463" spans="3:15" x14ac:dyDescent="0.25">
      <c r="C463" s="10"/>
      <c r="D463" s="10"/>
      <c r="E463" s="17"/>
      <c r="F463" s="17"/>
      <c r="G463" s="17"/>
      <c r="H463" s="17"/>
      <c r="I463" s="17"/>
      <c r="J463" s="11"/>
      <c r="K463" s="11"/>
      <c r="L463" s="11"/>
      <c r="M463" s="14" vm="417">
        <f ca="1"/>
        <v>45777</v>
      </c>
      <c r="N463" s="14" vm="418">
        <f ca="1"/>
        <v>118.44</v>
      </c>
      <c r="O463" s="14">
        <f t="shared" ca="1" si="3"/>
        <v>-1.9093658815579586E-2</v>
      </c>
    </row>
    <row r="464" spans="3:15" x14ac:dyDescent="0.25">
      <c r="C464" s="10"/>
      <c r="D464" s="10"/>
      <c r="E464" s="17"/>
      <c r="F464" s="17"/>
      <c r="G464" s="17"/>
      <c r="H464" s="17"/>
      <c r="I464" s="17"/>
      <c r="J464" s="11"/>
      <c r="K464" s="11"/>
      <c r="L464" s="11"/>
      <c r="M464" s="14" vm="419">
        <f ca="1"/>
        <v>45778</v>
      </c>
      <c r="N464" s="14" vm="420">
        <f ca="1"/>
        <v>116.2</v>
      </c>
      <c r="O464" s="14">
        <f t="shared" ca="1" si="3"/>
        <v>6.7224240107035843E-2</v>
      </c>
    </row>
    <row r="465" spans="3:15" x14ac:dyDescent="0.25">
      <c r="C465" s="10"/>
      <c r="D465" s="10"/>
      <c r="E465" s="17"/>
      <c r="F465" s="17"/>
      <c r="G465" s="17"/>
      <c r="H465" s="17"/>
      <c r="I465" s="17"/>
      <c r="J465" s="11"/>
      <c r="K465" s="11"/>
      <c r="L465" s="11"/>
      <c r="M465" s="14" vm="421">
        <f ca="1"/>
        <v>45779</v>
      </c>
      <c r="N465" s="14" vm="422">
        <f ca="1"/>
        <v>124.28</v>
      </c>
      <c r="O465" s="14">
        <f t="shared" ca="1" si="3"/>
        <v>-4.1120799729157864E-3</v>
      </c>
    </row>
    <row r="466" spans="3:15" x14ac:dyDescent="0.25">
      <c r="C466" s="10"/>
      <c r="D466" s="10"/>
      <c r="E466" s="17"/>
      <c r="F466" s="17"/>
      <c r="G466" s="17"/>
      <c r="H466" s="17"/>
      <c r="I466" s="17"/>
      <c r="J466" s="11"/>
      <c r="K466" s="11"/>
      <c r="L466" s="11"/>
      <c r="M466" s="14" vm="423">
        <f ca="1"/>
        <v>45782</v>
      </c>
      <c r="N466" s="14" vm="424">
        <f ca="1"/>
        <v>123.77</v>
      </c>
      <c r="O466" s="14">
        <f t="shared" ca="1" si="3"/>
        <v>-0.128362351545877</v>
      </c>
    </row>
    <row r="467" spans="3:15" x14ac:dyDescent="0.25">
      <c r="C467" s="10"/>
      <c r="D467" s="10"/>
      <c r="E467" s="17"/>
      <c r="F467" s="17"/>
      <c r="G467" s="17"/>
      <c r="H467" s="17"/>
      <c r="I467" s="17"/>
      <c r="J467" s="11"/>
      <c r="K467" s="11"/>
      <c r="L467" s="11"/>
      <c r="M467" s="14" vm="425">
        <f ca="1"/>
        <v>45783</v>
      </c>
      <c r="N467" s="14" vm="426">
        <f ca="1"/>
        <v>108.86</v>
      </c>
      <c r="O467" s="14">
        <f t="shared" ca="1" si="3"/>
        <v>1.4771856094982657E-2</v>
      </c>
    </row>
    <row r="468" spans="3:15" x14ac:dyDescent="0.25">
      <c r="C468" s="10"/>
      <c r="D468" s="10"/>
      <c r="E468" s="17"/>
      <c r="F468" s="17"/>
      <c r="G468" s="17"/>
      <c r="H468" s="17"/>
      <c r="I468" s="17"/>
      <c r="J468" s="11"/>
      <c r="K468" s="11"/>
      <c r="L468" s="11"/>
      <c r="M468" s="14" vm="427">
        <f ca="1"/>
        <v>45784</v>
      </c>
      <c r="N468" s="14" vm="428">
        <f ca="1"/>
        <v>110.48</v>
      </c>
      <c r="O468" s="14">
        <f t="shared" ca="1" si="3"/>
        <v>7.554869444371437E-2</v>
      </c>
    </row>
    <row r="469" spans="3:15" x14ac:dyDescent="0.25">
      <c r="C469" s="10"/>
      <c r="D469" s="10"/>
      <c r="E469" s="17"/>
      <c r="F469" s="17"/>
      <c r="G469" s="17"/>
      <c r="H469" s="17"/>
      <c r="I469" s="17"/>
      <c r="J469" s="11"/>
      <c r="K469" s="11"/>
      <c r="L469" s="11"/>
      <c r="M469" s="14" vm="429">
        <f ca="1"/>
        <v>45785</v>
      </c>
      <c r="N469" s="14" vm="430">
        <f ca="1"/>
        <v>119.15</v>
      </c>
      <c r="O469" s="14">
        <f t="shared" ca="1" si="3"/>
        <v>-1.564844788532143E-2</v>
      </c>
    </row>
    <row r="470" spans="3:15" x14ac:dyDescent="0.25">
      <c r="C470" s="10"/>
      <c r="D470" s="10"/>
      <c r="E470" s="17"/>
      <c r="F470" s="17"/>
      <c r="G470" s="17"/>
      <c r="H470" s="17"/>
      <c r="I470" s="17"/>
      <c r="J470" s="11"/>
      <c r="K470" s="11"/>
      <c r="L470" s="11"/>
      <c r="M470" s="14" vm="431">
        <f ca="1"/>
        <v>45786</v>
      </c>
      <c r="N470" s="14" vm="432">
        <f ca="1"/>
        <v>117.3</v>
      </c>
      <c r="O470" s="14">
        <f t="shared" ca="1" si="3"/>
        <v>9.8405951893893832E-3</v>
      </c>
    </row>
    <row r="471" spans="3:15" x14ac:dyDescent="0.25">
      <c r="C471" s="10"/>
      <c r="D471" s="10"/>
      <c r="E471" s="17"/>
      <c r="F471" s="17"/>
      <c r="G471" s="17"/>
      <c r="H471" s="17"/>
      <c r="I471" s="17"/>
      <c r="J471" s="11"/>
      <c r="K471" s="11"/>
      <c r="L471" s="11"/>
      <c r="M471" s="14" vm="433">
        <f ca="1"/>
        <v>45789</v>
      </c>
      <c r="N471" s="14" vm="434">
        <f ca="1"/>
        <v>118.46</v>
      </c>
      <c r="O471" s="14">
        <f t="shared" ca="1" si="3"/>
        <v>7.8235858053869414E-2</v>
      </c>
    </row>
    <row r="472" spans="3:15" x14ac:dyDescent="0.25">
      <c r="C472" s="10"/>
      <c r="D472" s="10"/>
      <c r="E472" s="17"/>
      <c r="F472" s="17"/>
      <c r="G472" s="17"/>
      <c r="H472" s="17"/>
      <c r="I472" s="17"/>
      <c r="J472" s="11"/>
      <c r="K472" s="11"/>
      <c r="L472" s="11"/>
      <c r="M472" s="14" vm="435">
        <f ca="1"/>
        <v>45790</v>
      </c>
      <c r="N472" s="14" vm="436">
        <f ca="1"/>
        <v>128.1</v>
      </c>
      <c r="O472" s="14">
        <f t="shared" ca="1" si="3"/>
        <v>1.6106899241552758E-2</v>
      </c>
    </row>
    <row r="473" spans="3:15" x14ac:dyDescent="0.25">
      <c r="C473" s="10"/>
      <c r="D473" s="10"/>
      <c r="E473" s="17"/>
      <c r="F473" s="17"/>
      <c r="G473" s="17"/>
      <c r="H473" s="17"/>
      <c r="I473" s="17"/>
      <c r="J473" s="11"/>
      <c r="K473" s="11"/>
      <c r="L473" s="11"/>
      <c r="M473" s="14" vm="437">
        <f ca="1"/>
        <v>45791</v>
      </c>
      <c r="N473" s="14" vm="438">
        <f ca="1"/>
        <v>130.18</v>
      </c>
      <c r="O473" s="14">
        <f t="shared" ca="1" si="3"/>
        <v>-1.5950783403283889E-2</v>
      </c>
    </row>
    <row r="474" spans="3:15" x14ac:dyDescent="0.25">
      <c r="C474" s="10"/>
      <c r="D474" s="10"/>
      <c r="E474" s="17"/>
      <c r="F474" s="17"/>
      <c r="G474" s="17"/>
      <c r="H474" s="17"/>
      <c r="I474" s="17"/>
      <c r="J474" s="11"/>
      <c r="K474" s="11"/>
      <c r="L474" s="11"/>
      <c r="M474" s="14" vm="439">
        <f ca="1"/>
        <v>45792</v>
      </c>
      <c r="N474" s="14" vm="440">
        <f ca="1"/>
        <v>128.12</v>
      </c>
      <c r="O474" s="14">
        <f t="shared" ca="1" si="3"/>
        <v>1.0867984628422268E-2</v>
      </c>
    </row>
    <row r="475" spans="3:15" x14ac:dyDescent="0.25">
      <c r="C475" s="10"/>
      <c r="D475" s="10"/>
      <c r="E475" s="17"/>
      <c r="F475" s="17"/>
      <c r="G475" s="17"/>
      <c r="H475" s="17"/>
      <c r="I475" s="17"/>
      <c r="J475" s="11"/>
      <c r="K475" s="11"/>
      <c r="L475" s="11"/>
      <c r="M475" s="14" vm="441">
        <f ca="1"/>
        <v>45793</v>
      </c>
      <c r="N475" s="14" vm="442">
        <f ca="1"/>
        <v>129.52000000000001</v>
      </c>
      <c r="O475" s="14">
        <f t="shared" ca="1" si="3"/>
        <v>-2.4937778527433702E-2</v>
      </c>
    </row>
    <row r="476" spans="3:15" x14ac:dyDescent="0.25">
      <c r="C476" s="10"/>
      <c r="D476" s="10"/>
      <c r="E476" s="17"/>
      <c r="F476" s="17"/>
      <c r="G476" s="17"/>
      <c r="H476" s="17"/>
      <c r="I476" s="17"/>
      <c r="J476" s="11"/>
      <c r="K476" s="11"/>
      <c r="L476" s="11"/>
      <c r="M476" s="14" vm="443">
        <f ca="1"/>
        <v>45796</v>
      </c>
      <c r="N476" s="14" vm="444">
        <f ca="1"/>
        <v>126.33</v>
      </c>
      <c r="O476" s="14">
        <f t="shared" ca="1" si="3"/>
        <v>-5.8748978119107275E-3</v>
      </c>
    </row>
    <row r="477" spans="3:15" x14ac:dyDescent="0.25">
      <c r="C477" s="10"/>
      <c r="D477" s="10"/>
      <c r="E477" s="17"/>
      <c r="F477" s="17"/>
      <c r="G477" s="17"/>
      <c r="H477" s="17"/>
      <c r="I477" s="17"/>
      <c r="J477" s="11"/>
      <c r="K477" s="11"/>
      <c r="L477" s="11"/>
      <c r="M477" s="14" vm="445">
        <f ca="1"/>
        <v>45797</v>
      </c>
      <c r="N477" s="14" vm="446">
        <f ca="1"/>
        <v>125.59</v>
      </c>
      <c r="O477" s="14">
        <f t="shared" ca="1" si="3"/>
        <v>-4.0709199968775873E-2</v>
      </c>
    </row>
    <row r="478" spans="3:15" x14ac:dyDescent="0.25">
      <c r="C478" s="10"/>
      <c r="D478" s="10"/>
      <c r="E478" s="17"/>
      <c r="F478" s="17"/>
      <c r="G478" s="17"/>
      <c r="H478" s="17"/>
      <c r="I478" s="17"/>
      <c r="J478" s="11"/>
      <c r="K478" s="11"/>
      <c r="L478" s="11"/>
      <c r="M478" s="14" vm="447">
        <f ca="1"/>
        <v>45798</v>
      </c>
      <c r="N478" s="14" vm="448">
        <f ca="1"/>
        <v>120.58</v>
      </c>
      <c r="O478" s="14">
        <f t="shared" ca="1" si="3"/>
        <v>1.4081840140019123E-2</v>
      </c>
    </row>
    <row r="479" spans="3:15" x14ac:dyDescent="0.25">
      <c r="C479" s="10"/>
      <c r="D479" s="10"/>
      <c r="E479" s="17"/>
      <c r="F479" s="17"/>
      <c r="G479" s="17"/>
      <c r="H479" s="17"/>
      <c r="I479" s="17"/>
      <c r="J479" s="11"/>
      <c r="K479" s="11"/>
      <c r="L479" s="11"/>
      <c r="M479" s="14" vm="449">
        <f ca="1"/>
        <v>45799</v>
      </c>
      <c r="N479" s="14" vm="450">
        <f ca="1"/>
        <v>122.29</v>
      </c>
      <c r="O479" s="14">
        <f t="shared" ca="1" si="3"/>
        <v>8.3062366811604716E-3</v>
      </c>
    </row>
    <row r="480" spans="3:15" x14ac:dyDescent="0.25">
      <c r="C480" s="10"/>
      <c r="D480" s="10"/>
      <c r="E480" s="17"/>
      <c r="F480" s="17"/>
      <c r="G480" s="17"/>
      <c r="H480" s="17"/>
      <c r="I480" s="17"/>
      <c r="J480" s="11"/>
      <c r="K480" s="11"/>
      <c r="L480" s="11"/>
      <c r="M480" s="14" vm="451">
        <f ca="1"/>
        <v>45800</v>
      </c>
      <c r="N480" s="14" vm="452">
        <f ca="1"/>
        <v>123.31</v>
      </c>
      <c r="O480" s="14">
        <f t="shared" ca="1" si="3"/>
        <v>6.4856102800320552E-4</v>
      </c>
    </row>
    <row r="481" spans="3:15" x14ac:dyDescent="0.25">
      <c r="C481" s="10"/>
      <c r="D481" s="10"/>
      <c r="E481" s="17"/>
      <c r="F481" s="17"/>
      <c r="G481" s="17"/>
      <c r="H481" s="17"/>
      <c r="I481" s="17"/>
      <c r="J481" s="11"/>
      <c r="K481" s="11"/>
      <c r="L481" s="11"/>
      <c r="M481" s="14" vm="453">
        <f ca="1"/>
        <v>45804</v>
      </c>
      <c r="N481" s="14" vm="454">
        <f ca="1"/>
        <v>123.39</v>
      </c>
      <c r="O481" s="14">
        <f t="shared" ca="1" si="3"/>
        <v>2.9941353543683868E-3</v>
      </c>
    </row>
    <row r="482" spans="3:15" x14ac:dyDescent="0.25">
      <c r="C482" s="10"/>
      <c r="D482" s="10"/>
      <c r="E482" s="17"/>
      <c r="F482" s="17"/>
      <c r="G482" s="17"/>
      <c r="H482" s="17"/>
      <c r="I482" s="17"/>
      <c r="J482" s="11"/>
      <c r="K482" s="11"/>
      <c r="L482" s="11"/>
      <c r="M482" s="14" vm="455">
        <f ca="1"/>
        <v>45805</v>
      </c>
      <c r="N482" s="14" vm="456">
        <f ca="1"/>
        <v>123.76</v>
      </c>
      <c r="O482" s="14">
        <f t="shared" ca="1" si="3"/>
        <v>-1.1703644644003891E-2</v>
      </c>
    </row>
    <row r="483" spans="3:15" x14ac:dyDescent="0.25">
      <c r="C483" s="10"/>
      <c r="D483" s="10"/>
      <c r="E483" s="17"/>
      <c r="F483" s="17"/>
      <c r="G483" s="17"/>
      <c r="H483" s="17"/>
      <c r="I483" s="17"/>
      <c r="J483" s="11"/>
      <c r="K483" s="11"/>
      <c r="L483" s="11"/>
      <c r="M483" s="14" vm="457">
        <f ca="1"/>
        <v>45806</v>
      </c>
      <c r="N483" s="14" vm="458">
        <f ca="1"/>
        <v>122.32</v>
      </c>
      <c r="O483" s="14">
        <f t="shared" ca="1" si="3"/>
        <v>7.4493303864866939E-2</v>
      </c>
    </row>
    <row r="484" spans="3:15" x14ac:dyDescent="0.25">
      <c r="C484" s="10"/>
      <c r="D484" s="10"/>
      <c r="E484" s="17"/>
      <c r="F484" s="17"/>
      <c r="G484" s="17"/>
      <c r="H484" s="17"/>
      <c r="I484" s="17"/>
      <c r="J484" s="11"/>
      <c r="K484" s="11"/>
      <c r="L484" s="11"/>
      <c r="M484" s="14" vm="459">
        <f ca="1"/>
        <v>45807</v>
      </c>
      <c r="N484" s="14" vm="460">
        <f ca="1"/>
        <v>131.78</v>
      </c>
      <c r="O484" s="14">
        <f t="shared" ca="1" si="3"/>
        <v>1.9710414993184015E-3</v>
      </c>
    </row>
    <row r="485" spans="3:15" x14ac:dyDescent="0.25">
      <c r="C485" s="10"/>
      <c r="D485" s="10"/>
      <c r="E485" s="17"/>
      <c r="F485" s="17"/>
      <c r="G485" s="17"/>
      <c r="H485" s="17"/>
      <c r="I485" s="17"/>
      <c r="J485" s="11"/>
      <c r="K485" s="11"/>
      <c r="L485" s="11"/>
      <c r="M485" s="14" vm="461">
        <f ca="1"/>
        <v>45810</v>
      </c>
      <c r="N485" s="14" vm="462">
        <f ca="1"/>
        <v>132.04</v>
      </c>
      <c r="O485" s="14">
        <f t="shared" ca="1" si="3"/>
        <v>8.5216005290612087E-3</v>
      </c>
    </row>
    <row r="486" spans="3:15" x14ac:dyDescent="0.25">
      <c r="C486" s="10"/>
      <c r="D486" s="10"/>
      <c r="E486" s="17"/>
      <c r="F486" s="17"/>
      <c r="G486" s="17"/>
      <c r="H486" s="17"/>
      <c r="I486" s="17"/>
      <c r="J486" s="11"/>
      <c r="K486" s="11"/>
      <c r="L486" s="11"/>
      <c r="M486" s="14" vm="463">
        <f ca="1"/>
        <v>45811</v>
      </c>
      <c r="N486" s="14" vm="464">
        <f ca="1"/>
        <v>133.16999999999999</v>
      </c>
      <c r="O486" s="14">
        <f t="shared" ca="1" si="3"/>
        <v>-2.401513693997619E-2</v>
      </c>
    </row>
    <row r="487" spans="3:15" x14ac:dyDescent="0.25">
      <c r="C487" s="10"/>
      <c r="D487" s="10"/>
      <c r="E487" s="17"/>
      <c r="F487" s="17"/>
      <c r="G487" s="17"/>
      <c r="H487" s="17"/>
      <c r="I487" s="17"/>
      <c r="J487" s="11"/>
      <c r="K487" s="11"/>
      <c r="L487" s="11"/>
      <c r="M487" s="14" vm="465">
        <f ca="1"/>
        <v>45812</v>
      </c>
      <c r="N487" s="14" vm="466">
        <f ca="1"/>
        <v>130.01</v>
      </c>
      <c r="O487" s="14">
        <f t="shared" ca="1" si="3"/>
        <v>-8.0869909182735414E-2</v>
      </c>
    </row>
    <row r="488" spans="3:15" x14ac:dyDescent="0.25">
      <c r="C488" s="10"/>
      <c r="D488" s="10"/>
      <c r="E488" s="17"/>
      <c r="F488" s="17"/>
      <c r="G488" s="17"/>
      <c r="H488" s="17"/>
      <c r="I488" s="17"/>
      <c r="J488" s="11"/>
      <c r="K488" s="11"/>
      <c r="L488" s="11"/>
      <c r="M488" s="14" vm="467">
        <f ca="1"/>
        <v>45813</v>
      </c>
      <c r="N488" s="14" vm="468">
        <f ca="1"/>
        <v>119.91</v>
      </c>
      <c r="O488" s="14">
        <f t="shared" ca="1" si="3"/>
        <v>6.3098906455239481E-2</v>
      </c>
    </row>
    <row r="489" spans="3:15" x14ac:dyDescent="0.25">
      <c r="C489" s="10"/>
      <c r="D489" s="10"/>
      <c r="E489" s="17"/>
      <c r="F489" s="17"/>
      <c r="G489" s="17"/>
      <c r="H489" s="17"/>
      <c r="I489" s="17"/>
      <c r="J489" s="11"/>
      <c r="K489" s="11"/>
      <c r="L489" s="11"/>
      <c r="M489" s="14" vm="469">
        <f ca="1"/>
        <v>45814</v>
      </c>
      <c r="N489" s="14" vm="470">
        <f ca="1"/>
        <v>127.72</v>
      </c>
      <c r="O489" s="14">
        <f t="shared" ca="1" si="3"/>
        <v>3.3415996919844017E-2</v>
      </c>
    </row>
    <row r="490" spans="3:15" x14ac:dyDescent="0.25">
      <c r="C490" s="10"/>
      <c r="D490" s="10"/>
      <c r="E490" s="17"/>
      <c r="F490" s="17"/>
      <c r="G490" s="17"/>
      <c r="H490" s="17"/>
      <c r="I490" s="17"/>
      <c r="J490" s="11"/>
      <c r="K490" s="11"/>
      <c r="L490" s="11"/>
      <c r="M490" s="14" vm="471">
        <f ca="1"/>
        <v>45817</v>
      </c>
      <c r="N490" s="14" vm="472">
        <f ca="1"/>
        <v>132.06</v>
      </c>
      <c r="O490" s="14">
        <f t="shared" ca="1" si="3"/>
        <v>5.6631706457339632E-3</v>
      </c>
    </row>
    <row r="491" spans="3:15" x14ac:dyDescent="0.25">
      <c r="C491" s="10"/>
      <c r="D491" s="10"/>
      <c r="E491" s="17"/>
      <c r="F491" s="17"/>
      <c r="G491" s="17"/>
      <c r="H491" s="17"/>
      <c r="I491" s="17"/>
      <c r="J491" s="11"/>
      <c r="K491" s="11"/>
      <c r="L491" s="11"/>
      <c r="M491" s="14" vm="473">
        <f ca="1"/>
        <v>45818</v>
      </c>
      <c r="N491" s="14" vm="474">
        <f ca="1"/>
        <v>132.81</v>
      </c>
      <c r="O491" s="14">
        <f t="shared" ca="1" si="3"/>
        <v>2.6598893526624281E-2</v>
      </c>
    </row>
    <row r="492" spans="3:15" x14ac:dyDescent="0.25">
      <c r="C492" s="10"/>
      <c r="D492" s="10"/>
      <c r="E492" s="17"/>
      <c r="F492" s="17"/>
      <c r="G492" s="17"/>
      <c r="H492" s="17"/>
      <c r="I492" s="17"/>
      <c r="J492" s="11"/>
      <c r="K492" s="11"/>
      <c r="L492" s="11"/>
      <c r="M492" s="14" vm="475">
        <f ca="1"/>
        <v>45819</v>
      </c>
      <c r="N492" s="14" vm="476">
        <f ca="1"/>
        <v>136.38999999999999</v>
      </c>
      <c r="O492" s="14">
        <f t="shared" ca="1" si="3"/>
        <v>-8.8372325624696667E-3</v>
      </c>
    </row>
    <row r="493" spans="3:15" x14ac:dyDescent="0.25">
      <c r="C493" s="10"/>
      <c r="D493" s="10"/>
      <c r="E493" s="17"/>
      <c r="F493" s="17"/>
      <c r="G493" s="17"/>
      <c r="H493" s="17"/>
      <c r="I493" s="17"/>
      <c r="J493" s="11"/>
      <c r="K493" s="11"/>
      <c r="L493" s="11"/>
      <c r="M493" s="14" vm="477">
        <f ca="1"/>
        <v>45820</v>
      </c>
      <c r="N493" s="14" vm="478">
        <f ca="1"/>
        <v>135.19</v>
      </c>
      <c r="O493" s="14">
        <f t="shared" ca="1" si="3"/>
        <v>1.6215183411934928E-2</v>
      </c>
    </row>
    <row r="494" spans="3:15" x14ac:dyDescent="0.25">
      <c r="C494" s="10"/>
      <c r="D494" s="10"/>
      <c r="E494" s="17"/>
      <c r="F494" s="17"/>
      <c r="G494" s="17"/>
      <c r="H494" s="17"/>
      <c r="I494" s="17"/>
      <c r="J494" s="11"/>
      <c r="K494" s="11"/>
      <c r="L494" s="11"/>
      <c r="M494" s="14" vm="479">
        <f ca="1"/>
        <v>45821</v>
      </c>
      <c r="N494" s="14" vm="480">
        <f ca="1"/>
        <v>137.4</v>
      </c>
      <c r="O494" s="14">
        <f t="shared" ca="1" si="3"/>
        <v>2.8767092531436049E-2</v>
      </c>
    </row>
    <row r="495" spans="3:15" x14ac:dyDescent="0.25">
      <c r="C495" s="10"/>
      <c r="D495" s="10"/>
      <c r="E495" s="17"/>
      <c r="F495" s="17"/>
      <c r="G495" s="17"/>
      <c r="H495" s="17"/>
      <c r="I495" s="17"/>
      <c r="J495" s="11"/>
      <c r="K495" s="11"/>
      <c r="L495" s="11"/>
      <c r="M495" s="14" vm="481">
        <f ca="1"/>
        <v>45824</v>
      </c>
      <c r="N495" s="14" vm="482">
        <f ca="1"/>
        <v>141.41</v>
      </c>
      <c r="O495" s="14">
        <f t="shared" ca="1" si="3"/>
        <v>-2.2961560986115622E-2</v>
      </c>
    </row>
    <row r="496" spans="3:15" x14ac:dyDescent="0.25">
      <c r="C496" s="10"/>
      <c r="D496" s="10"/>
      <c r="E496" s="17"/>
      <c r="F496" s="17"/>
      <c r="G496" s="17"/>
      <c r="H496" s="17"/>
      <c r="I496" s="17"/>
      <c r="J496" s="11"/>
      <c r="K496" s="11"/>
      <c r="L496" s="11"/>
      <c r="M496" s="14" vm="483">
        <f ca="1"/>
        <v>45825</v>
      </c>
      <c r="N496" s="14" vm="484">
        <f ca="1"/>
        <v>138.19999999999999</v>
      </c>
      <c r="O496" s="14">
        <f t="shared" ca="1" si="3"/>
        <v>1.2654756165917878E-2</v>
      </c>
    </row>
    <row r="497" spans="3:15" x14ac:dyDescent="0.25">
      <c r="C497" s="10"/>
      <c r="D497" s="10"/>
      <c r="E497" s="17"/>
      <c r="F497" s="17"/>
      <c r="G497" s="17"/>
      <c r="H497" s="17"/>
      <c r="I497" s="17"/>
      <c r="J497" s="11"/>
      <c r="K497" s="11"/>
      <c r="L497" s="11"/>
      <c r="M497" s="14" vm="485">
        <f ca="1"/>
        <v>45826</v>
      </c>
      <c r="N497" s="14" vm="486">
        <f ca="1"/>
        <v>139.96</v>
      </c>
      <c r="O497" s="14">
        <f t="shared" ca="1" si="3"/>
        <v>-1.91883547255619E-2</v>
      </c>
    </row>
    <row r="498" spans="3:15" x14ac:dyDescent="0.25">
      <c r="C498" s="10"/>
      <c r="D498" s="10"/>
      <c r="E498" s="17"/>
      <c r="F498" s="17"/>
      <c r="G498" s="17"/>
      <c r="H498" s="17"/>
      <c r="I498" s="17"/>
      <c r="J498" s="11"/>
      <c r="K498" s="11"/>
      <c r="L498" s="11"/>
      <c r="M498" s="14" vm="487">
        <f ca="1"/>
        <v>45828</v>
      </c>
      <c r="N498" s="14" vm="488">
        <f ca="1"/>
        <v>137.30000000000001</v>
      </c>
      <c r="O498" s="14">
        <f t="shared" ca="1" si="3"/>
        <v>1.8902517936421011E-2</v>
      </c>
    </row>
    <row r="499" spans="3:15" x14ac:dyDescent="0.25">
      <c r="C499" s="10"/>
      <c r="D499" s="10"/>
      <c r="E499" s="17"/>
      <c r="F499" s="17"/>
      <c r="G499" s="17"/>
      <c r="H499" s="17"/>
      <c r="I499" s="17"/>
      <c r="J499" s="11"/>
      <c r="K499" s="11"/>
      <c r="L499" s="11"/>
      <c r="M499" s="14" vm="489">
        <f ca="1"/>
        <v>45831</v>
      </c>
      <c r="N499" s="14" vm="490">
        <f ca="1"/>
        <v>139.91999999999999</v>
      </c>
      <c r="O499" s="14">
        <f t="shared" ca="1" si="3"/>
        <v>2.3380899081427039E-2</v>
      </c>
    </row>
    <row r="500" spans="3:15" x14ac:dyDescent="0.25">
      <c r="C500" s="10"/>
      <c r="D500" s="10"/>
      <c r="E500" s="17"/>
      <c r="F500" s="17"/>
      <c r="G500" s="17"/>
      <c r="H500" s="17"/>
      <c r="I500" s="17"/>
      <c r="J500" s="11"/>
      <c r="K500" s="11"/>
      <c r="L500" s="11"/>
      <c r="M500" s="14" vm="491">
        <f ca="1"/>
        <v>45832</v>
      </c>
      <c r="N500" s="14" vm="492">
        <f ca="1"/>
        <v>143.22999999999999</v>
      </c>
      <c r="O500" s="14">
        <f t="shared" ca="1" si="3"/>
        <v>-2.3066448559519188E-3</v>
      </c>
    </row>
    <row r="501" spans="3:15" x14ac:dyDescent="0.25">
      <c r="C501" s="10"/>
      <c r="D501" s="10"/>
      <c r="E501" s="17"/>
      <c r="F501" s="17"/>
      <c r="G501" s="17"/>
      <c r="H501" s="17"/>
      <c r="I501" s="17"/>
      <c r="J501" s="11"/>
      <c r="K501" s="11"/>
      <c r="L501" s="11"/>
      <c r="M501" s="14" vm="493">
        <f ca="1"/>
        <v>45833</v>
      </c>
      <c r="N501" s="14" vm="494">
        <f ca="1"/>
        <v>142.9</v>
      </c>
      <c r="O501" s="14"/>
    </row>
    <row r="502" spans="3:15" x14ac:dyDescent="0.25">
      <c r="C502" s="10"/>
      <c r="D502" s="10"/>
      <c r="E502" s="17"/>
      <c r="F502" s="17"/>
      <c r="G502" s="17"/>
      <c r="H502" s="17"/>
      <c r="I502" s="17"/>
      <c r="J502" s="11"/>
      <c r="K502" s="11"/>
      <c r="L502" s="11"/>
      <c r="M502" s="16" vm="495">
        <f ca="1"/>
        <v>45834</v>
      </c>
      <c r="N502" s="16" vm="496">
        <f ca="1"/>
        <v>144.25</v>
      </c>
    </row>
    <row r="503" spans="3:15" x14ac:dyDescent="0.25">
      <c r="C503" s="10"/>
      <c r="D503" s="10"/>
      <c r="E503" s="17"/>
      <c r="F503" s="17"/>
      <c r="G503" s="17"/>
      <c r="H503" s="17"/>
      <c r="I503" s="17"/>
      <c r="J503" s="11"/>
      <c r="K503" s="11"/>
      <c r="L503" s="11"/>
      <c r="M503" s="16"/>
      <c r="N503" s="16"/>
    </row>
    <row r="504" spans="3:15" x14ac:dyDescent="0.25">
      <c r="C504" s="10"/>
      <c r="D504" s="10"/>
      <c r="E504" s="17"/>
      <c r="F504" s="17"/>
      <c r="G504" s="17"/>
      <c r="H504" s="17"/>
      <c r="I504" s="17"/>
      <c r="J504" s="11"/>
      <c r="K504" s="11"/>
      <c r="L504" s="11"/>
      <c r="M504" s="16"/>
      <c r="N504" s="16"/>
    </row>
    <row r="505" spans="3:15" x14ac:dyDescent="0.25">
      <c r="C505" s="10"/>
      <c r="D505" s="10"/>
      <c r="E505" s="17"/>
      <c r="F505" s="17"/>
      <c r="G505" s="17"/>
      <c r="H505" s="17"/>
      <c r="I505" s="17"/>
      <c r="J505" s="11"/>
      <c r="K505" s="11"/>
      <c r="L505" s="11"/>
      <c r="M505" s="16"/>
      <c r="N505" s="16"/>
    </row>
    <row r="506" spans="3:15" x14ac:dyDescent="0.25">
      <c r="C506" s="10"/>
      <c r="D506" s="10"/>
      <c r="E506" s="17"/>
      <c r="F506" s="17"/>
      <c r="G506" s="17"/>
      <c r="H506" s="17"/>
      <c r="I506" s="17"/>
      <c r="J506" s="11"/>
      <c r="K506" s="11"/>
      <c r="L506" s="11"/>
      <c r="M506" s="16"/>
      <c r="N506" s="16"/>
    </row>
    <row r="507" spans="3:15" x14ac:dyDescent="0.25">
      <c r="C507" s="10"/>
      <c r="D507" s="10"/>
      <c r="E507" s="17"/>
      <c r="F507" s="17"/>
      <c r="G507" s="17"/>
      <c r="H507" s="17"/>
      <c r="I507" s="17"/>
      <c r="J507" s="11"/>
      <c r="K507" s="11"/>
      <c r="L507" s="11"/>
      <c r="M507" s="16"/>
      <c r="N507" s="16"/>
    </row>
    <row r="508" spans="3:15" x14ac:dyDescent="0.25">
      <c r="C508" s="10"/>
      <c r="D508" s="10"/>
      <c r="E508" s="17"/>
      <c r="F508" s="17"/>
      <c r="G508" s="17"/>
      <c r="H508" s="17"/>
      <c r="I508" s="17"/>
      <c r="J508" s="11"/>
      <c r="K508" s="11"/>
      <c r="L508" s="11"/>
      <c r="M508" s="16"/>
      <c r="N508" s="16"/>
    </row>
    <row r="509" spans="3:15" x14ac:dyDescent="0.25">
      <c r="C509" s="10"/>
      <c r="D509" s="10"/>
      <c r="E509" s="17"/>
      <c r="F509" s="17"/>
      <c r="G509" s="17"/>
      <c r="H509" s="17"/>
      <c r="I509" s="17"/>
      <c r="J509" s="11"/>
      <c r="K509" s="11"/>
      <c r="L509" s="11"/>
      <c r="M509" s="16"/>
      <c r="N509" s="16"/>
    </row>
    <row r="510" spans="3:15" x14ac:dyDescent="0.25">
      <c r="C510" s="10"/>
      <c r="D510" s="10"/>
      <c r="E510" s="17"/>
      <c r="F510" s="17"/>
      <c r="G510" s="17"/>
      <c r="H510" s="17"/>
      <c r="I510" s="17"/>
      <c r="J510" s="11"/>
      <c r="K510" s="11"/>
      <c r="L510" s="11"/>
      <c r="M510" s="16"/>
      <c r="N510" s="16"/>
    </row>
    <row r="511" spans="3:15" x14ac:dyDescent="0.25">
      <c r="C511" s="10"/>
      <c r="D511" s="10"/>
      <c r="E511" s="17"/>
      <c r="F511" s="17"/>
      <c r="G511" s="17"/>
      <c r="H511" s="17"/>
      <c r="I511" s="17"/>
      <c r="J511" s="11"/>
      <c r="K511" s="11"/>
      <c r="L511" s="11"/>
      <c r="M511" s="16"/>
      <c r="N511" s="16"/>
    </row>
    <row r="512" spans="3:15" x14ac:dyDescent="0.25">
      <c r="C512" s="10"/>
      <c r="D512" s="10"/>
      <c r="E512" s="17"/>
      <c r="F512" s="17"/>
      <c r="G512" s="17"/>
      <c r="H512" s="17"/>
      <c r="I512" s="17"/>
      <c r="J512" s="11"/>
      <c r="K512" s="11"/>
      <c r="L512" s="11"/>
      <c r="M512" s="16"/>
      <c r="N512" s="16"/>
    </row>
    <row r="513" spans="3:14" x14ac:dyDescent="0.25">
      <c r="C513" s="10"/>
      <c r="D513" s="10"/>
      <c r="E513" s="17"/>
      <c r="F513" s="17"/>
      <c r="G513" s="17"/>
      <c r="H513" s="17"/>
      <c r="I513" s="17"/>
      <c r="J513" s="11"/>
      <c r="K513" s="11"/>
      <c r="L513" s="11"/>
      <c r="M513" s="16"/>
      <c r="N513" s="16"/>
    </row>
    <row r="514" spans="3:14" x14ac:dyDescent="0.25">
      <c r="C514" s="10"/>
      <c r="D514" s="10"/>
      <c r="E514" s="17"/>
      <c r="F514" s="17"/>
      <c r="G514" s="17"/>
      <c r="H514" s="17"/>
      <c r="I514" s="17"/>
      <c r="J514" s="11"/>
      <c r="K514" s="11"/>
      <c r="L514" s="11"/>
      <c r="M514" s="16"/>
      <c r="N514" s="16"/>
    </row>
    <row r="515" spans="3:14" x14ac:dyDescent="0.25">
      <c r="C515" s="10"/>
      <c r="D515" s="10"/>
      <c r="E515" s="17"/>
      <c r="F515" s="17"/>
      <c r="G515" s="17"/>
      <c r="H515" s="17"/>
      <c r="I515" s="17"/>
      <c r="J515" s="11"/>
      <c r="K515" s="11"/>
      <c r="L515" s="11"/>
      <c r="M515" s="16"/>
      <c r="N515" s="16"/>
    </row>
    <row r="516" spans="3:14" x14ac:dyDescent="0.25">
      <c r="C516" s="10"/>
      <c r="D516" s="10"/>
      <c r="E516" s="17"/>
      <c r="F516" s="17"/>
      <c r="G516" s="17"/>
      <c r="H516" s="17"/>
      <c r="I516" s="17"/>
      <c r="J516" s="11"/>
      <c r="K516" s="11"/>
      <c r="L516" s="11"/>
      <c r="M516" s="16"/>
      <c r="N516" s="16"/>
    </row>
    <row r="517" spans="3:14" x14ac:dyDescent="0.25">
      <c r="C517" s="10"/>
      <c r="D517" s="10"/>
      <c r="E517" s="17"/>
      <c r="F517" s="17"/>
      <c r="G517" s="17"/>
      <c r="H517" s="17"/>
      <c r="I517" s="17"/>
      <c r="J517" s="11"/>
      <c r="K517" s="11"/>
      <c r="L517" s="11"/>
      <c r="M517" s="16"/>
      <c r="N517" s="16"/>
    </row>
    <row r="518" spans="3:14" x14ac:dyDescent="0.25">
      <c r="C518" s="10"/>
      <c r="D518" s="10"/>
      <c r="E518" s="17"/>
      <c r="F518" s="17"/>
      <c r="G518" s="17"/>
      <c r="H518" s="17"/>
      <c r="I518" s="17"/>
      <c r="J518" s="11"/>
      <c r="K518" s="11"/>
      <c r="L518" s="11"/>
      <c r="M518" s="16"/>
      <c r="N518" s="16"/>
    </row>
    <row r="519" spans="3:14" x14ac:dyDescent="0.25">
      <c r="C519" s="10"/>
      <c r="D519" s="10"/>
      <c r="E519" s="17"/>
      <c r="F519" s="17"/>
      <c r="G519" s="17"/>
      <c r="H519" s="17"/>
      <c r="I519" s="17"/>
      <c r="J519" s="11"/>
      <c r="K519" s="11"/>
      <c r="L519" s="11"/>
      <c r="M519" s="16"/>
      <c r="N519" s="16"/>
    </row>
    <row r="520" spans="3:14" x14ac:dyDescent="0.25">
      <c r="C520" s="10"/>
      <c r="D520" s="10"/>
      <c r="E520" s="17"/>
      <c r="F520" s="17"/>
      <c r="G520" s="17"/>
      <c r="H520" s="17"/>
      <c r="I520" s="17"/>
      <c r="J520" s="11"/>
      <c r="K520" s="11"/>
      <c r="L520" s="11"/>
      <c r="M520" s="16"/>
      <c r="N520" s="16"/>
    </row>
    <row r="521" spans="3:14" x14ac:dyDescent="0.25">
      <c r="C521" s="10"/>
      <c r="D521" s="10"/>
      <c r="E521" s="17"/>
      <c r="F521" s="17"/>
      <c r="G521" s="17"/>
      <c r="H521" s="17"/>
      <c r="I521" s="17"/>
      <c r="J521" s="11"/>
      <c r="K521" s="11"/>
      <c r="L521" s="11"/>
      <c r="M521" s="16"/>
      <c r="N521" s="16"/>
    </row>
    <row r="522" spans="3:14" x14ac:dyDescent="0.25">
      <c r="C522" s="10"/>
      <c r="D522" s="10"/>
      <c r="E522" s="17"/>
      <c r="F522" s="17"/>
      <c r="G522" s="17"/>
      <c r="H522" s="17"/>
      <c r="I522" s="17"/>
      <c r="J522" s="11"/>
      <c r="K522" s="11"/>
      <c r="L522" s="11"/>
      <c r="M522" s="16"/>
      <c r="N522" s="16"/>
    </row>
    <row r="523" spans="3:14" x14ac:dyDescent="0.25">
      <c r="C523" s="10"/>
      <c r="D523" s="10"/>
      <c r="E523" s="17"/>
      <c r="F523" s="17"/>
      <c r="G523" s="17"/>
      <c r="H523" s="17"/>
      <c r="I523" s="17"/>
      <c r="J523" s="11"/>
      <c r="K523" s="11"/>
      <c r="L523" s="11"/>
      <c r="M523" s="16"/>
      <c r="N523" s="16"/>
    </row>
    <row r="524" spans="3:14" x14ac:dyDescent="0.25">
      <c r="C524" s="10"/>
      <c r="D524" s="10"/>
      <c r="E524" s="17"/>
      <c r="F524" s="17"/>
      <c r="G524" s="17"/>
      <c r="H524" s="17"/>
      <c r="I524" s="17"/>
      <c r="J524" s="11"/>
      <c r="K524" s="11"/>
      <c r="L524" s="11"/>
      <c r="M524" s="16"/>
      <c r="N524" s="16"/>
    </row>
    <row r="525" spans="3:14" x14ac:dyDescent="0.25">
      <c r="C525" s="10"/>
      <c r="D525" s="10"/>
      <c r="E525" s="17"/>
      <c r="F525" s="17"/>
      <c r="G525" s="17"/>
      <c r="H525" s="17"/>
      <c r="I525" s="17"/>
      <c r="J525" s="11"/>
      <c r="K525" s="11"/>
      <c r="L525" s="11"/>
      <c r="M525" s="16"/>
      <c r="N525" s="16"/>
    </row>
    <row r="526" spans="3:14" x14ac:dyDescent="0.25">
      <c r="C526" s="10"/>
      <c r="D526" s="10"/>
      <c r="E526" s="17"/>
      <c r="F526" s="17"/>
      <c r="G526" s="17"/>
      <c r="H526" s="17"/>
      <c r="I526" s="17"/>
      <c r="J526" s="11"/>
      <c r="K526" s="11"/>
      <c r="L526" s="11"/>
      <c r="M526" s="16"/>
      <c r="N526" s="16"/>
    </row>
    <row r="527" spans="3:14" x14ac:dyDescent="0.25">
      <c r="C527" s="10"/>
      <c r="D527" s="10"/>
      <c r="E527" s="17"/>
      <c r="F527" s="17"/>
      <c r="G527" s="17"/>
      <c r="H527" s="17"/>
      <c r="I527" s="17"/>
      <c r="J527" s="11"/>
      <c r="K527" s="11"/>
      <c r="L527" s="11"/>
      <c r="M527" s="16"/>
      <c r="N527" s="16"/>
    </row>
    <row r="528" spans="3:14" x14ac:dyDescent="0.25">
      <c r="C528" s="10"/>
      <c r="D528" s="10"/>
      <c r="E528" s="17"/>
      <c r="F528" s="17"/>
      <c r="G528" s="17"/>
      <c r="H528" s="17"/>
      <c r="I528" s="17"/>
      <c r="J528" s="11"/>
      <c r="K528" s="11"/>
      <c r="L528" s="11"/>
      <c r="M528" s="16"/>
      <c r="N528" s="16"/>
    </row>
    <row r="529" spans="3:14" x14ac:dyDescent="0.25">
      <c r="C529" s="10"/>
      <c r="D529" s="10"/>
      <c r="E529" s="17"/>
      <c r="F529" s="17"/>
      <c r="G529" s="17"/>
      <c r="H529" s="17"/>
      <c r="I529" s="17"/>
      <c r="J529" s="11"/>
      <c r="K529" s="11"/>
      <c r="L529" s="11"/>
      <c r="M529" s="16"/>
      <c r="N529" s="16"/>
    </row>
    <row r="530" spans="3:14" x14ac:dyDescent="0.25">
      <c r="C530" s="10"/>
      <c r="D530" s="10"/>
      <c r="E530" s="17"/>
      <c r="F530" s="17"/>
      <c r="G530" s="17"/>
      <c r="H530" s="17"/>
      <c r="I530" s="17"/>
      <c r="J530" s="11"/>
      <c r="K530" s="11"/>
      <c r="L530" s="11"/>
      <c r="M530" s="16"/>
      <c r="N530" s="16"/>
    </row>
    <row r="531" spans="3:14" x14ac:dyDescent="0.25">
      <c r="C531" s="10"/>
      <c r="D531" s="10"/>
      <c r="E531" s="17"/>
      <c r="F531" s="17"/>
      <c r="G531" s="17"/>
      <c r="H531" s="17"/>
      <c r="I531" s="17"/>
      <c r="J531" s="11"/>
      <c r="K531" s="11"/>
      <c r="L531" s="11"/>
      <c r="M531" s="16"/>
      <c r="N531" s="16"/>
    </row>
    <row r="532" spans="3:14" x14ac:dyDescent="0.25">
      <c r="C532" s="10"/>
      <c r="D532" s="10"/>
      <c r="E532" s="17"/>
      <c r="F532" s="17"/>
      <c r="G532" s="17"/>
      <c r="H532" s="17"/>
      <c r="I532" s="17"/>
      <c r="J532" s="11"/>
      <c r="K532" s="11"/>
      <c r="L532" s="11"/>
      <c r="M532" s="16"/>
      <c r="N532" s="16"/>
    </row>
    <row r="533" spans="3:14" x14ac:dyDescent="0.25">
      <c r="C533" s="10"/>
      <c r="D533" s="10"/>
      <c r="E533" s="17"/>
      <c r="F533" s="17"/>
      <c r="G533" s="17"/>
      <c r="H533" s="17"/>
      <c r="I533" s="17"/>
      <c r="J533" s="11"/>
      <c r="K533" s="11"/>
      <c r="L533" s="11"/>
      <c r="M533" s="16"/>
      <c r="N533" s="16"/>
    </row>
    <row r="534" spans="3:14" x14ac:dyDescent="0.25">
      <c r="C534" s="10"/>
      <c r="D534" s="10"/>
      <c r="E534" s="17"/>
      <c r="F534" s="17"/>
      <c r="G534" s="17"/>
      <c r="H534" s="17"/>
      <c r="I534" s="17"/>
      <c r="J534" s="11"/>
      <c r="K534" s="11"/>
      <c r="L534" s="11"/>
      <c r="M534" s="16"/>
      <c r="N534" s="16"/>
    </row>
    <row r="535" spans="3:14" x14ac:dyDescent="0.25">
      <c r="C535" s="10"/>
      <c r="D535" s="10"/>
      <c r="E535" s="17"/>
      <c r="F535" s="17"/>
      <c r="G535" s="17"/>
      <c r="H535" s="17"/>
      <c r="I535" s="17"/>
      <c r="J535" s="11"/>
      <c r="K535" s="11"/>
      <c r="L535" s="11"/>
      <c r="M535" s="16"/>
      <c r="N535" s="16"/>
    </row>
    <row r="536" spans="3:14" x14ac:dyDescent="0.25">
      <c r="C536" s="10"/>
      <c r="D536" s="10"/>
      <c r="E536" s="17"/>
      <c r="F536" s="17"/>
      <c r="G536" s="17"/>
      <c r="H536" s="17"/>
      <c r="I536" s="17"/>
      <c r="J536" s="11"/>
      <c r="K536" s="11"/>
      <c r="L536" s="11"/>
    </row>
    <row r="537" spans="3:14" x14ac:dyDescent="0.25">
      <c r="C537" s="10"/>
      <c r="D537" s="10"/>
      <c r="E537" s="17"/>
      <c r="F537" s="17"/>
      <c r="G537" s="17"/>
      <c r="H537" s="17"/>
      <c r="I537" s="17"/>
      <c r="J537" s="11"/>
      <c r="K537" s="11"/>
      <c r="L537" s="11"/>
    </row>
    <row r="538" spans="3:14" x14ac:dyDescent="0.25">
      <c r="C538" s="10"/>
      <c r="D538" s="10"/>
      <c r="E538" s="17"/>
      <c r="F538" s="17"/>
      <c r="G538" s="17"/>
      <c r="H538" s="17"/>
      <c r="I538" s="17"/>
      <c r="J538" s="11"/>
      <c r="K538" s="11"/>
      <c r="L538" s="11"/>
    </row>
    <row r="539" spans="3:14" x14ac:dyDescent="0.25">
      <c r="C539" s="10"/>
      <c r="D539" s="10"/>
      <c r="E539" s="17"/>
      <c r="F539" s="17"/>
      <c r="G539" s="17"/>
      <c r="H539" s="17"/>
      <c r="I539" s="17"/>
      <c r="J539" s="11"/>
      <c r="K539" s="11"/>
      <c r="L539" s="11"/>
    </row>
    <row r="540" spans="3:14" x14ac:dyDescent="0.25">
      <c r="C540" s="10"/>
      <c r="D540" s="10"/>
      <c r="E540" s="17"/>
      <c r="F540" s="17"/>
      <c r="G540" s="17"/>
      <c r="H540" s="17"/>
      <c r="I540" s="17"/>
      <c r="J540" s="11"/>
      <c r="K540" s="11"/>
      <c r="L540" s="11"/>
    </row>
    <row r="541" spans="3:14" x14ac:dyDescent="0.25">
      <c r="C541" s="10"/>
      <c r="D541" s="10"/>
      <c r="E541" s="17"/>
      <c r="F541" s="17"/>
      <c r="G541" s="17"/>
      <c r="H541" s="17"/>
      <c r="I541" s="17"/>
      <c r="J541" s="11"/>
      <c r="K541" s="11"/>
      <c r="L541" s="11"/>
    </row>
    <row r="542" spans="3:14" x14ac:dyDescent="0.25">
      <c r="C542" s="10"/>
      <c r="D542" s="10"/>
      <c r="E542" s="17"/>
      <c r="F542" s="17"/>
      <c r="G542" s="17"/>
      <c r="H542" s="17"/>
      <c r="I542" s="17"/>
      <c r="J542" s="11"/>
      <c r="K542" s="11"/>
      <c r="L542" s="11"/>
    </row>
    <row r="543" spans="3:14" x14ac:dyDescent="0.25">
      <c r="C543" s="10"/>
      <c r="D543" s="10"/>
      <c r="E543" s="17"/>
      <c r="F543" s="17"/>
      <c r="G543" s="17"/>
      <c r="H543" s="17"/>
      <c r="I543" s="17"/>
      <c r="J543" s="11"/>
      <c r="K543" s="11"/>
      <c r="L543" s="11"/>
    </row>
    <row r="544" spans="3:14" x14ac:dyDescent="0.25">
      <c r="C544" s="10"/>
      <c r="D544" s="10"/>
      <c r="E544" s="17"/>
      <c r="F544" s="17"/>
      <c r="G544" s="17"/>
      <c r="H544" s="17"/>
      <c r="I544" s="17"/>
      <c r="J544" s="11"/>
      <c r="K544" s="11"/>
      <c r="L544" s="11"/>
    </row>
    <row r="545" spans="3:12" x14ac:dyDescent="0.25">
      <c r="C545" s="10"/>
      <c r="D545" s="10"/>
      <c r="E545" s="17"/>
      <c r="F545" s="17"/>
      <c r="G545" s="17"/>
      <c r="H545" s="17"/>
      <c r="I545" s="17"/>
      <c r="J545" s="11"/>
      <c r="K545" s="11"/>
      <c r="L545" s="11"/>
    </row>
    <row r="546" spans="3:12" x14ac:dyDescent="0.25">
      <c r="C546" s="10"/>
      <c r="D546" s="10"/>
      <c r="E546" s="17"/>
      <c r="F546" s="17"/>
      <c r="G546" s="17"/>
      <c r="H546" s="17"/>
      <c r="I546" s="17"/>
      <c r="J546" s="11"/>
      <c r="K546" s="11"/>
      <c r="L546" s="11"/>
    </row>
    <row r="547" spans="3:12" x14ac:dyDescent="0.25">
      <c r="C547" s="10"/>
      <c r="D547" s="10"/>
      <c r="E547" s="17"/>
      <c r="F547" s="17"/>
      <c r="G547" s="17"/>
      <c r="H547" s="17"/>
      <c r="I547" s="17"/>
      <c r="J547" s="11"/>
      <c r="K547" s="11"/>
      <c r="L547" s="11"/>
    </row>
    <row r="548" spans="3:12" x14ac:dyDescent="0.25">
      <c r="C548" s="10"/>
      <c r="D548" s="10"/>
      <c r="E548" s="17"/>
      <c r="F548" s="17"/>
      <c r="G548" s="17"/>
      <c r="H548" s="17"/>
      <c r="I548" s="17"/>
      <c r="J548" s="11"/>
      <c r="K548" s="11"/>
      <c r="L548" s="11"/>
    </row>
    <row r="549" spans="3:12" x14ac:dyDescent="0.25">
      <c r="C549" s="10"/>
      <c r="D549" s="10"/>
      <c r="E549" s="17"/>
      <c r="F549" s="17"/>
      <c r="G549" s="17"/>
      <c r="H549" s="17"/>
      <c r="I549" s="17"/>
      <c r="J549" s="11"/>
      <c r="K549" s="11"/>
      <c r="L549" s="11"/>
    </row>
    <row r="550" spans="3:12" x14ac:dyDescent="0.25">
      <c r="C550" s="10"/>
      <c r="D550" s="10"/>
      <c r="E550" s="17"/>
      <c r="F550" s="17"/>
      <c r="G550" s="17"/>
      <c r="H550" s="17"/>
      <c r="I550" s="17"/>
      <c r="J550" s="11"/>
      <c r="K550" s="11"/>
      <c r="L550" s="11"/>
    </row>
    <row r="551" spans="3:12" x14ac:dyDescent="0.25">
      <c r="C551" s="10"/>
      <c r="D551" s="10"/>
      <c r="E551" s="17"/>
      <c r="F551" s="17"/>
      <c r="G551" s="17"/>
      <c r="H551" s="17"/>
      <c r="I551" s="17"/>
      <c r="J551" s="11"/>
      <c r="K551" s="11"/>
      <c r="L551" s="11"/>
    </row>
    <row r="552" spans="3:12" x14ac:dyDescent="0.25">
      <c r="C552" s="10"/>
      <c r="D552" s="10"/>
      <c r="E552" s="17"/>
      <c r="F552" s="17"/>
      <c r="G552" s="17"/>
      <c r="H552" s="17"/>
      <c r="I552" s="17"/>
      <c r="J552" s="11"/>
      <c r="K552" s="11"/>
      <c r="L552" s="11"/>
    </row>
    <row r="553" spans="3:12" x14ac:dyDescent="0.25">
      <c r="C553" s="10"/>
      <c r="D553" s="10"/>
      <c r="E553" s="17"/>
      <c r="F553" s="17"/>
      <c r="G553" s="17"/>
      <c r="H553" s="17"/>
      <c r="I553" s="17"/>
      <c r="J553" s="11"/>
      <c r="K553" s="11"/>
      <c r="L553" s="11"/>
    </row>
    <row r="554" spans="3:12" x14ac:dyDescent="0.25">
      <c r="C554" s="10"/>
      <c r="D554" s="10"/>
      <c r="E554" s="17"/>
      <c r="F554" s="17"/>
      <c r="G554" s="17"/>
      <c r="H554" s="17"/>
      <c r="I554" s="17"/>
      <c r="J554" s="11"/>
      <c r="K554" s="11"/>
      <c r="L554" s="11"/>
    </row>
    <row r="555" spans="3:12" x14ac:dyDescent="0.25">
      <c r="C555" s="10"/>
      <c r="D555" s="10"/>
      <c r="E555" s="17"/>
      <c r="F555" s="17"/>
      <c r="G555" s="17"/>
      <c r="H555" s="17"/>
      <c r="I555" s="17"/>
      <c r="J555" s="11"/>
      <c r="K555" s="11"/>
      <c r="L555" s="11"/>
    </row>
    <row r="556" spans="3:12" x14ac:dyDescent="0.25">
      <c r="C556" s="10"/>
      <c r="D556" s="10"/>
      <c r="E556" s="17"/>
      <c r="F556" s="17"/>
      <c r="G556" s="17"/>
      <c r="H556" s="17"/>
      <c r="I556" s="17"/>
      <c r="J556" s="11"/>
      <c r="K556" s="11"/>
      <c r="L556" s="11"/>
    </row>
    <row r="557" spans="3:12" x14ac:dyDescent="0.25">
      <c r="C557" s="10"/>
      <c r="D557" s="10"/>
      <c r="E557" s="17"/>
      <c r="F557" s="17"/>
      <c r="G557" s="17"/>
      <c r="H557" s="17"/>
      <c r="I557" s="17"/>
      <c r="J557" s="11"/>
      <c r="K557" s="11"/>
      <c r="L557" s="11"/>
    </row>
    <row r="558" spans="3:12" x14ac:dyDescent="0.25">
      <c r="C558" s="10"/>
      <c r="D558" s="10"/>
      <c r="E558" s="17"/>
      <c r="F558" s="17"/>
      <c r="G558" s="17"/>
      <c r="H558" s="17"/>
      <c r="I558" s="17"/>
      <c r="J558" s="11"/>
      <c r="K558" s="11"/>
      <c r="L558" s="11"/>
    </row>
    <row r="559" spans="3:12" x14ac:dyDescent="0.25">
      <c r="C559" s="10"/>
      <c r="D559" s="10"/>
      <c r="E559" s="17"/>
      <c r="F559" s="17"/>
      <c r="G559" s="17"/>
      <c r="H559" s="17"/>
      <c r="I559" s="17"/>
      <c r="J559" s="11"/>
      <c r="K559" s="11"/>
      <c r="L559" s="11"/>
    </row>
    <row r="560" spans="3:12" x14ac:dyDescent="0.25">
      <c r="C560" s="10"/>
      <c r="D560" s="10"/>
      <c r="E560" s="17"/>
      <c r="F560" s="17"/>
      <c r="G560" s="17"/>
      <c r="H560" s="17"/>
      <c r="I560" s="17"/>
      <c r="J560" s="11"/>
      <c r="K560" s="11"/>
      <c r="L560" s="11"/>
    </row>
    <row r="561" spans="3:12" x14ac:dyDescent="0.25">
      <c r="C561" s="10"/>
      <c r="D561" s="10"/>
      <c r="E561" s="17"/>
      <c r="F561" s="17"/>
      <c r="G561" s="17"/>
      <c r="H561" s="17"/>
      <c r="I561" s="17"/>
      <c r="J561" s="11"/>
      <c r="K561" s="11"/>
      <c r="L561" s="11"/>
    </row>
    <row r="562" spans="3:12" x14ac:dyDescent="0.25">
      <c r="C562" s="10"/>
      <c r="D562" s="10"/>
      <c r="E562" s="17"/>
      <c r="F562" s="17"/>
      <c r="G562" s="17"/>
      <c r="H562" s="17"/>
      <c r="I562" s="17"/>
      <c r="J562" s="11"/>
      <c r="K562" s="11"/>
      <c r="L562" s="11"/>
    </row>
    <row r="563" spans="3:12" x14ac:dyDescent="0.25">
      <c r="C563" s="10"/>
      <c r="D563" s="10"/>
      <c r="E563" s="17"/>
      <c r="F563" s="17"/>
      <c r="G563" s="17"/>
      <c r="H563" s="17"/>
      <c r="I563" s="17"/>
      <c r="J563" s="11"/>
      <c r="K563" s="11"/>
      <c r="L563" s="11"/>
    </row>
    <row r="564" spans="3:12" x14ac:dyDescent="0.25">
      <c r="C564" s="10"/>
      <c r="D564" s="10"/>
      <c r="E564" s="17"/>
      <c r="F564" s="17"/>
      <c r="G564" s="17"/>
      <c r="H564" s="17"/>
      <c r="I564" s="17"/>
      <c r="J564" s="11"/>
      <c r="K564" s="11"/>
      <c r="L564" s="11"/>
    </row>
    <row r="565" spans="3:12" x14ac:dyDescent="0.25">
      <c r="C565" s="10"/>
      <c r="D565" s="10"/>
      <c r="E565" s="17"/>
      <c r="F565" s="17"/>
      <c r="G565" s="17"/>
      <c r="H565" s="17"/>
      <c r="I565" s="17"/>
      <c r="J565" s="11"/>
      <c r="K565" s="11"/>
      <c r="L565" s="11"/>
    </row>
    <row r="566" spans="3:12" x14ac:dyDescent="0.25">
      <c r="C566" s="10"/>
      <c r="D566" s="10"/>
      <c r="E566" s="17"/>
      <c r="F566" s="17"/>
      <c r="G566" s="17"/>
      <c r="H566" s="17"/>
      <c r="I566" s="17"/>
      <c r="J566" s="11"/>
      <c r="K566" s="11"/>
      <c r="L566" s="11"/>
    </row>
    <row r="567" spans="3:12" x14ac:dyDescent="0.25">
      <c r="C567" s="10"/>
      <c r="D567" s="10"/>
      <c r="E567" s="17"/>
      <c r="F567" s="17"/>
      <c r="G567" s="17"/>
      <c r="H567" s="17"/>
      <c r="I567" s="17"/>
      <c r="J567" s="11"/>
      <c r="K567" s="11"/>
      <c r="L567" s="11"/>
    </row>
    <row r="568" spans="3:12" x14ac:dyDescent="0.25">
      <c r="C568" s="10"/>
      <c r="D568" s="10"/>
      <c r="E568" s="17"/>
      <c r="F568" s="17"/>
      <c r="G568" s="17"/>
      <c r="H568" s="17"/>
      <c r="I568" s="17"/>
      <c r="J568" s="11"/>
      <c r="K568" s="11"/>
      <c r="L568" s="11"/>
    </row>
    <row r="569" spans="3:12" x14ac:dyDescent="0.25">
      <c r="C569" s="10"/>
      <c r="D569" s="10"/>
      <c r="E569" s="17"/>
      <c r="F569" s="17"/>
      <c r="G569" s="17"/>
      <c r="H569" s="17"/>
      <c r="I569" s="17"/>
      <c r="J569" s="11"/>
      <c r="K569" s="11"/>
      <c r="L569" s="11"/>
    </row>
    <row r="570" spans="3:12" x14ac:dyDescent="0.25">
      <c r="C570" s="10"/>
      <c r="D570" s="10"/>
      <c r="E570" s="17"/>
      <c r="F570" s="17"/>
      <c r="G570" s="17"/>
      <c r="H570" s="17"/>
      <c r="I570" s="17"/>
      <c r="J570" s="11"/>
      <c r="K570" s="11"/>
      <c r="L570" s="11"/>
    </row>
    <row r="571" spans="3:12" x14ac:dyDescent="0.25">
      <c r="C571" s="10"/>
      <c r="D571" s="10"/>
      <c r="E571" s="17"/>
      <c r="F571" s="17"/>
      <c r="G571" s="17"/>
      <c r="H571" s="17"/>
      <c r="I571" s="17"/>
      <c r="J571" s="11"/>
      <c r="K571" s="11"/>
      <c r="L571" s="11"/>
    </row>
    <row r="572" spans="3:12" x14ac:dyDescent="0.25">
      <c r="C572" s="10"/>
      <c r="D572" s="10"/>
      <c r="E572" s="17"/>
      <c r="F572" s="17"/>
      <c r="G572" s="17"/>
      <c r="H572" s="17"/>
      <c r="I572" s="17"/>
      <c r="J572" s="11"/>
      <c r="K572" s="11"/>
      <c r="L572" s="11"/>
    </row>
    <row r="573" spans="3:12" x14ac:dyDescent="0.25">
      <c r="C573" s="10"/>
      <c r="D573" s="10"/>
      <c r="E573" s="17"/>
      <c r="F573" s="17"/>
      <c r="G573" s="17"/>
      <c r="H573" s="17"/>
      <c r="I573" s="17"/>
      <c r="J573" s="11"/>
      <c r="K573" s="11"/>
      <c r="L573" s="11"/>
    </row>
    <row r="574" spans="3:12" x14ac:dyDescent="0.25">
      <c r="C574" s="10"/>
      <c r="D574" s="10"/>
      <c r="E574" s="17"/>
      <c r="F574" s="17"/>
      <c r="G574" s="17"/>
      <c r="H574" s="17"/>
      <c r="I574" s="17"/>
      <c r="J574" s="11"/>
      <c r="K574" s="11"/>
      <c r="L574" s="11"/>
    </row>
    <row r="575" spans="3:12" x14ac:dyDescent="0.25">
      <c r="C575" s="10"/>
      <c r="D575" s="10"/>
      <c r="E575" s="17"/>
      <c r="F575" s="17"/>
      <c r="G575" s="17"/>
      <c r="H575" s="17"/>
      <c r="I575" s="17"/>
      <c r="J575" s="11"/>
      <c r="K575" s="11"/>
      <c r="L575" s="11"/>
    </row>
    <row r="576" spans="3:12" x14ac:dyDescent="0.25">
      <c r="C576" s="10"/>
      <c r="D576" s="10"/>
      <c r="E576" s="17"/>
      <c r="F576" s="17"/>
      <c r="G576" s="17"/>
      <c r="H576" s="17"/>
      <c r="I576" s="17"/>
      <c r="J576" s="11"/>
      <c r="K576" s="11"/>
      <c r="L576" s="11"/>
    </row>
    <row r="577" spans="3:12" x14ac:dyDescent="0.25">
      <c r="C577" s="10"/>
      <c r="D577" s="10"/>
      <c r="E577" s="17"/>
      <c r="F577" s="17"/>
      <c r="G577" s="17"/>
      <c r="H577" s="17"/>
      <c r="I577" s="17"/>
      <c r="J577" s="11"/>
      <c r="K577" s="11"/>
      <c r="L577" s="11"/>
    </row>
    <row r="578" spans="3:12" x14ac:dyDescent="0.25">
      <c r="C578" s="10"/>
      <c r="D578" s="10"/>
      <c r="E578" s="17"/>
      <c r="F578" s="17"/>
      <c r="G578" s="17"/>
      <c r="H578" s="17"/>
      <c r="I578" s="17"/>
      <c r="J578" s="11"/>
      <c r="K578" s="11"/>
      <c r="L578" s="11"/>
    </row>
    <row r="579" spans="3:12" x14ac:dyDescent="0.25">
      <c r="C579" s="10"/>
      <c r="D579" s="10"/>
      <c r="E579" s="17"/>
      <c r="F579" s="17"/>
      <c r="G579" s="17"/>
      <c r="H579" s="17"/>
      <c r="I579" s="17"/>
      <c r="J579" s="11"/>
      <c r="K579" s="11"/>
      <c r="L579" s="11"/>
    </row>
    <row r="580" spans="3:12" x14ac:dyDescent="0.25">
      <c r="C580" s="10"/>
      <c r="D580" s="10"/>
      <c r="E580" s="17"/>
      <c r="F580" s="17"/>
      <c r="G580" s="17"/>
      <c r="H580" s="17"/>
      <c r="I580" s="17"/>
      <c r="J580" s="11"/>
      <c r="K580" s="11"/>
      <c r="L580" s="11"/>
    </row>
    <row r="581" spans="3:12" x14ac:dyDescent="0.25">
      <c r="C581" s="10"/>
      <c r="D581" s="10"/>
      <c r="E581" s="17"/>
      <c r="F581" s="17"/>
      <c r="G581" s="17"/>
      <c r="H581" s="17"/>
      <c r="I581" s="17"/>
      <c r="J581" s="11"/>
      <c r="K581" s="11"/>
      <c r="L581" s="11"/>
    </row>
    <row r="582" spans="3:12" x14ac:dyDescent="0.25">
      <c r="C582" s="10"/>
      <c r="D582" s="10"/>
      <c r="E582" s="17"/>
      <c r="F582" s="17"/>
      <c r="G582" s="17"/>
      <c r="H582" s="17"/>
      <c r="I582" s="17"/>
      <c r="J582" s="11"/>
      <c r="K582" s="11"/>
      <c r="L582" s="11"/>
    </row>
    <row r="583" spans="3:12" x14ac:dyDescent="0.25">
      <c r="C583" s="10"/>
      <c r="D583" s="10"/>
      <c r="E583" s="17"/>
      <c r="F583" s="17"/>
      <c r="G583" s="17"/>
      <c r="H583" s="17"/>
      <c r="I583" s="17"/>
      <c r="J583" s="11"/>
      <c r="K583" s="11"/>
      <c r="L583" s="11"/>
    </row>
    <row r="584" spans="3:12" x14ac:dyDescent="0.25">
      <c r="C584" s="10"/>
      <c r="D584" s="10"/>
      <c r="E584" s="17"/>
      <c r="F584" s="17"/>
      <c r="G584" s="17"/>
      <c r="H584" s="17"/>
      <c r="I584" s="17"/>
      <c r="J584" s="11"/>
      <c r="K584" s="11"/>
      <c r="L584" s="11"/>
    </row>
    <row r="585" spans="3:12" x14ac:dyDescent="0.25">
      <c r="C585" s="10"/>
      <c r="D585" s="10"/>
      <c r="E585" s="17"/>
      <c r="F585" s="17"/>
      <c r="G585" s="17"/>
      <c r="H585" s="17"/>
      <c r="I585" s="17"/>
      <c r="J585" s="11"/>
      <c r="K585" s="11"/>
      <c r="L585" s="11"/>
    </row>
    <row r="586" spans="3:12" x14ac:dyDescent="0.25">
      <c r="C586" s="10"/>
      <c r="D586" s="10"/>
      <c r="E586" s="17"/>
      <c r="F586" s="17"/>
      <c r="G586" s="17"/>
      <c r="H586" s="17"/>
      <c r="I586" s="17"/>
      <c r="J586" s="11"/>
      <c r="K586" s="11"/>
      <c r="L586" s="11"/>
    </row>
    <row r="587" spans="3:12" x14ac:dyDescent="0.25">
      <c r="C587" s="10"/>
      <c r="D587" s="10"/>
      <c r="E587" s="17"/>
      <c r="F587" s="17"/>
      <c r="G587" s="17"/>
      <c r="H587" s="17"/>
      <c r="I587" s="17"/>
      <c r="J587" s="11"/>
      <c r="K587" s="11"/>
      <c r="L587" s="11"/>
    </row>
    <row r="588" spans="3:12" x14ac:dyDescent="0.25">
      <c r="C588" s="10"/>
      <c r="D588" s="10"/>
      <c r="E588" s="17"/>
      <c r="F588" s="17"/>
      <c r="G588" s="17"/>
      <c r="H588" s="17"/>
      <c r="I588" s="17"/>
      <c r="J588" s="11"/>
      <c r="K588" s="11"/>
      <c r="L588" s="11"/>
    </row>
    <row r="589" spans="3:12" x14ac:dyDescent="0.25">
      <c r="C589" s="10"/>
      <c r="D589" s="10"/>
      <c r="E589" s="17"/>
      <c r="F589" s="17"/>
      <c r="G589" s="17"/>
      <c r="H589" s="17"/>
      <c r="I589" s="17"/>
      <c r="J589" s="11"/>
      <c r="K589" s="11"/>
      <c r="L589" s="11"/>
    </row>
    <row r="590" spans="3:12" x14ac:dyDescent="0.25">
      <c r="C590" s="10"/>
      <c r="D590" s="10"/>
      <c r="E590" s="17"/>
      <c r="F590" s="17"/>
      <c r="G590" s="17"/>
      <c r="H590" s="17"/>
      <c r="I590" s="17"/>
      <c r="J590" s="11"/>
      <c r="K590" s="11"/>
      <c r="L590" s="11"/>
    </row>
    <row r="591" spans="3:12" x14ac:dyDescent="0.25">
      <c r="C591" s="10"/>
      <c r="D591" s="10"/>
      <c r="E591" s="17"/>
      <c r="F591" s="17"/>
      <c r="G591" s="17"/>
      <c r="H591" s="17"/>
      <c r="I591" s="17"/>
      <c r="J591" s="11"/>
      <c r="K591" s="11"/>
      <c r="L591" s="11"/>
    </row>
    <row r="592" spans="3:12" x14ac:dyDescent="0.25">
      <c r="C592" s="10"/>
      <c r="D592" s="10"/>
      <c r="E592" s="17"/>
      <c r="F592" s="17"/>
      <c r="G592" s="17"/>
      <c r="H592" s="17"/>
      <c r="I592" s="17"/>
      <c r="J592" s="11"/>
      <c r="K592" s="11"/>
      <c r="L592" s="11"/>
    </row>
    <row r="593" spans="3:12" x14ac:dyDescent="0.25">
      <c r="C593" s="10"/>
      <c r="D593" s="10"/>
      <c r="E593" s="17"/>
      <c r="F593" s="17"/>
      <c r="G593" s="17"/>
      <c r="H593" s="17"/>
      <c r="I593" s="17"/>
      <c r="J593" s="11"/>
      <c r="K593" s="11"/>
      <c r="L593" s="11"/>
    </row>
    <row r="594" spans="3:12" x14ac:dyDescent="0.25">
      <c r="C594" s="10"/>
      <c r="D594" s="10"/>
      <c r="E594" s="17"/>
      <c r="F594" s="17"/>
      <c r="G594" s="17"/>
      <c r="H594" s="17"/>
      <c r="I594" s="17"/>
      <c r="J594" s="11"/>
      <c r="K594" s="11"/>
      <c r="L594" s="11"/>
    </row>
    <row r="595" spans="3:12" x14ac:dyDescent="0.25">
      <c r="C595" s="10"/>
      <c r="D595" s="10"/>
      <c r="E595" s="17"/>
      <c r="F595" s="17"/>
      <c r="G595" s="17"/>
      <c r="H595" s="17"/>
      <c r="I595" s="17"/>
      <c r="J595" s="11"/>
      <c r="K595" s="11"/>
      <c r="L595" s="11"/>
    </row>
    <row r="596" spans="3:12" x14ac:dyDescent="0.25">
      <c r="C596" s="10"/>
      <c r="D596" s="10"/>
      <c r="E596" s="17"/>
      <c r="F596" s="17"/>
      <c r="G596" s="17"/>
      <c r="H596" s="17"/>
      <c r="I596" s="17"/>
      <c r="J596" s="11"/>
      <c r="K596" s="11"/>
      <c r="L596" s="11"/>
    </row>
    <row r="597" spans="3:12" x14ac:dyDescent="0.25">
      <c r="C597" s="10"/>
      <c r="D597" s="10"/>
      <c r="E597" s="17"/>
      <c r="F597" s="17"/>
      <c r="G597" s="17"/>
      <c r="H597" s="17"/>
      <c r="I597" s="17"/>
      <c r="J597" s="11"/>
      <c r="K597" s="11"/>
      <c r="L597" s="11"/>
    </row>
    <row r="598" spans="3:12" x14ac:dyDescent="0.25">
      <c r="C598" s="10"/>
      <c r="D598" s="10"/>
      <c r="E598" s="17"/>
      <c r="F598" s="17"/>
      <c r="G598" s="17"/>
      <c r="H598" s="17"/>
      <c r="I598" s="17"/>
      <c r="J598" s="11"/>
      <c r="K598" s="11"/>
      <c r="L598" s="11"/>
    </row>
    <row r="599" spans="3:12" x14ac:dyDescent="0.25">
      <c r="C599" s="10"/>
      <c r="D599" s="10"/>
      <c r="E599" s="17"/>
      <c r="F599" s="17"/>
      <c r="G599" s="17"/>
      <c r="H599" s="17"/>
      <c r="I599" s="17"/>
      <c r="J599" s="11"/>
      <c r="K599" s="11"/>
      <c r="L599" s="11"/>
    </row>
    <row r="600" spans="3:12" x14ac:dyDescent="0.25">
      <c r="C600" s="10"/>
      <c r="D600" s="10"/>
      <c r="E600" s="17"/>
      <c r="F600" s="17"/>
      <c r="G600" s="17"/>
      <c r="H600" s="17"/>
      <c r="I600" s="17"/>
      <c r="J600" s="11"/>
      <c r="K600" s="11"/>
      <c r="L600" s="11"/>
    </row>
    <row r="601" spans="3:12" x14ac:dyDescent="0.25">
      <c r="C601" s="10"/>
      <c r="D601" s="10"/>
      <c r="E601" s="17"/>
      <c r="F601" s="17"/>
      <c r="G601" s="17"/>
      <c r="H601" s="17"/>
      <c r="I601" s="17"/>
      <c r="J601" s="11"/>
      <c r="K601" s="11"/>
      <c r="L601" s="11"/>
    </row>
    <row r="602" spans="3:12" x14ac:dyDescent="0.25">
      <c r="C602" s="10"/>
      <c r="D602" s="10"/>
      <c r="E602" s="17"/>
      <c r="F602" s="17"/>
      <c r="G602" s="17"/>
      <c r="H602" s="17"/>
      <c r="I602" s="17"/>
      <c r="J602" s="11"/>
      <c r="K602" s="11"/>
      <c r="L602" s="11"/>
    </row>
    <row r="603" spans="3:12" x14ac:dyDescent="0.25">
      <c r="C603" s="10"/>
      <c r="D603" s="10"/>
      <c r="E603" s="17"/>
      <c r="F603" s="17"/>
      <c r="G603" s="17"/>
      <c r="H603" s="17"/>
      <c r="I603" s="17"/>
      <c r="J603" s="11"/>
      <c r="K603" s="11"/>
      <c r="L603" s="11"/>
    </row>
    <row r="604" spans="3:12" x14ac:dyDescent="0.25">
      <c r="C604" s="10"/>
      <c r="D604" s="10"/>
      <c r="E604" s="17"/>
      <c r="F604" s="17"/>
      <c r="G604" s="17"/>
      <c r="H604" s="17"/>
      <c r="I604" s="17"/>
      <c r="J604" s="11"/>
      <c r="K604" s="11"/>
      <c r="L604" s="11"/>
    </row>
    <row r="605" spans="3:12" x14ac:dyDescent="0.25">
      <c r="C605" s="10"/>
      <c r="D605" s="10"/>
      <c r="E605" s="17"/>
      <c r="F605" s="17"/>
      <c r="G605" s="17"/>
      <c r="H605" s="17"/>
      <c r="I605" s="17"/>
      <c r="J605" s="11"/>
      <c r="K605" s="11"/>
      <c r="L605" s="11"/>
    </row>
    <row r="606" spans="3:12" x14ac:dyDescent="0.25">
      <c r="C606" s="10"/>
      <c r="D606" s="10"/>
      <c r="E606" s="17"/>
      <c r="F606" s="17"/>
      <c r="G606" s="17"/>
      <c r="H606" s="17"/>
      <c r="I606" s="17"/>
      <c r="J606" s="11"/>
      <c r="K606" s="11"/>
      <c r="L606" s="11"/>
    </row>
    <row r="607" spans="3:12" x14ac:dyDescent="0.25">
      <c r="C607" s="10"/>
      <c r="D607" s="10"/>
      <c r="E607" s="17"/>
      <c r="F607" s="17"/>
      <c r="G607" s="17"/>
      <c r="H607" s="17"/>
      <c r="I607" s="17"/>
      <c r="J607" s="11"/>
      <c r="K607" s="11"/>
      <c r="L607" s="11"/>
    </row>
    <row r="608" spans="3:12" x14ac:dyDescent="0.25">
      <c r="C608" s="10"/>
      <c r="D608" s="10"/>
      <c r="E608" s="17"/>
      <c r="F608" s="17"/>
      <c r="G608" s="17"/>
      <c r="H608" s="17"/>
      <c r="I608" s="17"/>
      <c r="J608" s="11"/>
      <c r="K608" s="11"/>
      <c r="L608" s="11"/>
    </row>
    <row r="609" spans="3:12" x14ac:dyDescent="0.25">
      <c r="C609" s="10"/>
      <c r="D609" s="10"/>
      <c r="E609" s="17"/>
      <c r="F609" s="17"/>
      <c r="G609" s="17"/>
      <c r="H609" s="17"/>
      <c r="I609" s="17"/>
      <c r="J609" s="11"/>
      <c r="K609" s="11"/>
      <c r="L609" s="11"/>
    </row>
    <row r="610" spans="3:12" x14ac:dyDescent="0.25">
      <c r="C610" s="10"/>
      <c r="D610" s="10"/>
      <c r="E610" s="17"/>
      <c r="F610" s="17"/>
      <c r="G610" s="17"/>
      <c r="H610" s="17"/>
      <c r="I610" s="17"/>
      <c r="J610" s="11"/>
      <c r="K610" s="11"/>
      <c r="L610" s="11"/>
    </row>
    <row r="611" spans="3:12" x14ac:dyDescent="0.25">
      <c r="C611" s="10"/>
      <c r="D611" s="10"/>
      <c r="E611" s="17"/>
      <c r="F611" s="17"/>
      <c r="G611" s="17"/>
      <c r="H611" s="17"/>
      <c r="I611" s="17"/>
      <c r="J611" s="11"/>
      <c r="K611" s="11"/>
      <c r="L611" s="11"/>
    </row>
    <row r="612" spans="3:12" x14ac:dyDescent="0.25">
      <c r="C612" s="10"/>
      <c r="D612" s="10"/>
      <c r="E612" s="17"/>
      <c r="F612" s="17"/>
      <c r="G612" s="17"/>
      <c r="H612" s="17"/>
      <c r="I612" s="17"/>
      <c r="J612" s="11"/>
      <c r="K612" s="11"/>
      <c r="L612" s="11"/>
    </row>
    <row r="613" spans="3:12" x14ac:dyDescent="0.25">
      <c r="C613" s="10"/>
      <c r="D613" s="10"/>
      <c r="E613" s="17"/>
      <c r="F613" s="17"/>
      <c r="G613" s="17"/>
      <c r="H613" s="17"/>
      <c r="I613" s="17"/>
      <c r="J613" s="11"/>
      <c r="K613" s="11"/>
      <c r="L613" s="11"/>
    </row>
    <row r="614" spans="3:12" x14ac:dyDescent="0.25">
      <c r="C614" s="10"/>
      <c r="D614" s="10"/>
      <c r="E614" s="17"/>
      <c r="F614" s="17"/>
      <c r="G614" s="17"/>
      <c r="H614" s="17"/>
      <c r="I614" s="17"/>
      <c r="J614" s="11"/>
      <c r="K614" s="11"/>
      <c r="L614" s="11"/>
    </row>
    <row r="615" spans="3:12" x14ac:dyDescent="0.25">
      <c r="C615" s="10"/>
      <c r="D615" s="10"/>
      <c r="E615" s="17"/>
      <c r="F615" s="17"/>
      <c r="G615" s="17"/>
      <c r="H615" s="17"/>
      <c r="I615" s="17"/>
      <c r="J615" s="11"/>
      <c r="K615" s="11"/>
      <c r="L615" s="11"/>
    </row>
    <row r="616" spans="3:12" x14ac:dyDescent="0.25">
      <c r="C616" s="10"/>
      <c r="D616" s="10"/>
      <c r="E616" s="17"/>
      <c r="F616" s="17"/>
      <c r="G616" s="17"/>
      <c r="H616" s="17"/>
      <c r="I616" s="17"/>
      <c r="J616" s="11"/>
      <c r="K616" s="11"/>
      <c r="L616" s="11"/>
    </row>
    <row r="617" spans="3:12" x14ac:dyDescent="0.25">
      <c r="C617" s="10"/>
      <c r="D617" s="10"/>
      <c r="E617" s="17"/>
      <c r="F617" s="17"/>
      <c r="G617" s="17"/>
      <c r="H617" s="17"/>
      <c r="I617" s="17"/>
      <c r="J617" s="11"/>
      <c r="K617" s="11"/>
      <c r="L617" s="11"/>
    </row>
    <row r="618" spans="3:12" x14ac:dyDescent="0.25">
      <c r="C618" s="10"/>
      <c r="D618" s="10"/>
      <c r="E618" s="17"/>
      <c r="F618" s="17"/>
      <c r="G618" s="17"/>
      <c r="H618" s="17"/>
      <c r="I618" s="17"/>
      <c r="J618" s="11"/>
      <c r="K618" s="11"/>
      <c r="L618" s="11"/>
    </row>
    <row r="619" spans="3:12" x14ac:dyDescent="0.25">
      <c r="C619" s="10"/>
      <c r="D619" s="10"/>
      <c r="E619" s="17"/>
      <c r="F619" s="17"/>
      <c r="G619" s="17"/>
      <c r="H619" s="17"/>
      <c r="I619" s="17"/>
      <c r="J619" s="11"/>
      <c r="K619" s="11"/>
      <c r="L619" s="11"/>
    </row>
    <row r="620" spans="3:12" x14ac:dyDescent="0.25">
      <c r="C620" s="10"/>
      <c r="D620" s="10"/>
      <c r="E620" s="17"/>
      <c r="F620" s="17"/>
      <c r="G620" s="17"/>
      <c r="H620" s="17"/>
      <c r="I620" s="17"/>
      <c r="J620" s="11"/>
      <c r="K620" s="11"/>
      <c r="L620" s="11"/>
    </row>
    <row r="621" spans="3:12" x14ac:dyDescent="0.25">
      <c r="C621" s="10"/>
      <c r="D621" s="10"/>
      <c r="E621" s="17"/>
      <c r="F621" s="17"/>
      <c r="G621" s="17"/>
      <c r="H621" s="17"/>
      <c r="I621" s="17"/>
      <c r="J621" s="11"/>
      <c r="K621" s="11"/>
      <c r="L621" s="11"/>
    </row>
    <row r="622" spans="3:12" x14ac:dyDescent="0.25">
      <c r="C622" s="10"/>
      <c r="D622" s="10"/>
      <c r="E622" s="17"/>
      <c r="F622" s="17"/>
      <c r="G622" s="17"/>
      <c r="H622" s="17"/>
      <c r="I622" s="17"/>
      <c r="J622" s="11"/>
      <c r="K622" s="11"/>
      <c r="L622" s="11"/>
    </row>
    <row r="623" spans="3:12" x14ac:dyDescent="0.25">
      <c r="C623" s="10"/>
      <c r="D623" s="10"/>
      <c r="E623" s="17"/>
      <c r="F623" s="17"/>
      <c r="G623" s="17"/>
      <c r="H623" s="17"/>
      <c r="I623" s="17"/>
      <c r="J623" s="11"/>
      <c r="K623" s="11"/>
      <c r="L623" s="11"/>
    </row>
    <row r="624" spans="3:12" x14ac:dyDescent="0.25">
      <c r="C624" s="10"/>
      <c r="D624" s="10"/>
      <c r="E624" s="17"/>
      <c r="F624" s="17"/>
      <c r="G624" s="17"/>
      <c r="H624" s="17"/>
      <c r="I624" s="17"/>
      <c r="J624" s="11"/>
      <c r="K624" s="11"/>
      <c r="L624" s="11"/>
    </row>
    <row r="625" spans="3:12" x14ac:dyDescent="0.25">
      <c r="C625" s="10"/>
      <c r="D625" s="10"/>
      <c r="E625" s="17"/>
      <c r="F625" s="17"/>
      <c r="G625" s="17"/>
      <c r="H625" s="17"/>
      <c r="I625" s="17"/>
      <c r="J625" s="11"/>
      <c r="K625" s="11"/>
      <c r="L625" s="11"/>
    </row>
    <row r="626" spans="3:12" x14ac:dyDescent="0.25">
      <c r="C626" s="10"/>
      <c r="D626" s="10"/>
      <c r="E626" s="17"/>
      <c r="F626" s="17"/>
      <c r="G626" s="17"/>
      <c r="H626" s="17"/>
      <c r="I626" s="17"/>
      <c r="J626" s="11"/>
      <c r="K626" s="11"/>
      <c r="L626" s="11"/>
    </row>
    <row r="627" spans="3:12" x14ac:dyDescent="0.25">
      <c r="C627" s="10"/>
      <c r="D627" s="10"/>
      <c r="E627" s="17"/>
      <c r="F627" s="17"/>
      <c r="G627" s="17"/>
      <c r="H627" s="17"/>
      <c r="I627" s="17"/>
      <c r="J627" s="11"/>
      <c r="K627" s="11"/>
      <c r="L627" s="11"/>
    </row>
    <row r="628" spans="3:12" x14ac:dyDescent="0.25">
      <c r="C628" s="10"/>
      <c r="D628" s="10"/>
      <c r="E628" s="17"/>
      <c r="F628" s="17"/>
      <c r="G628" s="17"/>
      <c r="H628" s="17"/>
      <c r="I628" s="17"/>
      <c r="J628" s="11"/>
      <c r="K628" s="11"/>
      <c r="L628" s="11"/>
    </row>
    <row r="629" spans="3:12" x14ac:dyDescent="0.25">
      <c r="C629" s="10"/>
      <c r="D629" s="10"/>
      <c r="E629" s="17"/>
      <c r="F629" s="17"/>
      <c r="G629" s="17"/>
      <c r="H629" s="17"/>
      <c r="I629" s="17"/>
      <c r="J629" s="11"/>
      <c r="K629" s="11"/>
      <c r="L629" s="11"/>
    </row>
    <row r="630" spans="3:12" x14ac:dyDescent="0.25">
      <c r="C630" s="10"/>
      <c r="D630" s="10"/>
      <c r="E630" s="17"/>
      <c r="F630" s="17"/>
      <c r="G630" s="17"/>
      <c r="H630" s="17"/>
      <c r="I630" s="17"/>
      <c r="J630" s="11"/>
      <c r="K630" s="11"/>
      <c r="L630" s="11"/>
    </row>
    <row r="631" spans="3:12" x14ac:dyDescent="0.25">
      <c r="C631" s="10"/>
      <c r="D631" s="10"/>
      <c r="E631" s="17"/>
      <c r="F631" s="17"/>
      <c r="G631" s="17"/>
      <c r="H631" s="17"/>
      <c r="I631" s="17"/>
      <c r="J631" s="11"/>
      <c r="K631" s="11"/>
      <c r="L631" s="11"/>
    </row>
    <row r="632" spans="3:12" x14ac:dyDescent="0.25">
      <c r="C632" s="10"/>
      <c r="D632" s="10"/>
      <c r="E632" s="17"/>
      <c r="F632" s="17"/>
      <c r="G632" s="17"/>
      <c r="H632" s="17"/>
      <c r="I632" s="17"/>
      <c r="J632" s="11"/>
      <c r="K632" s="11"/>
      <c r="L632" s="11"/>
    </row>
    <row r="633" spans="3:12" x14ac:dyDescent="0.25">
      <c r="C633" s="10"/>
      <c r="D633" s="10"/>
      <c r="E633" s="17"/>
      <c r="F633" s="17"/>
      <c r="G633" s="17"/>
      <c r="H633" s="17"/>
      <c r="I633" s="17"/>
      <c r="J633" s="11"/>
      <c r="K633" s="11"/>
      <c r="L633" s="11"/>
    </row>
    <row r="634" spans="3:12" x14ac:dyDescent="0.25">
      <c r="C634" s="10"/>
      <c r="D634" s="10"/>
      <c r="E634" s="17"/>
      <c r="F634" s="17"/>
      <c r="G634" s="17"/>
      <c r="H634" s="17"/>
      <c r="I634" s="17"/>
      <c r="J634" s="11"/>
      <c r="K634" s="11"/>
      <c r="L634" s="11"/>
    </row>
    <row r="635" spans="3:12" x14ac:dyDescent="0.25">
      <c r="C635" s="10"/>
      <c r="D635" s="10"/>
      <c r="E635" s="17"/>
      <c r="F635" s="17"/>
      <c r="G635" s="17"/>
      <c r="H635" s="17"/>
      <c r="I635" s="17"/>
      <c r="J635" s="11"/>
      <c r="K635" s="11"/>
      <c r="L635" s="11"/>
    </row>
    <row r="636" spans="3:12" x14ac:dyDescent="0.25">
      <c r="C636" s="10"/>
      <c r="D636" s="10"/>
      <c r="E636" s="17"/>
      <c r="F636" s="17"/>
      <c r="G636" s="17"/>
      <c r="H636" s="17"/>
      <c r="I636" s="17"/>
      <c r="J636" s="11"/>
      <c r="K636" s="11"/>
      <c r="L636" s="11"/>
    </row>
    <row r="637" spans="3:12" x14ac:dyDescent="0.25">
      <c r="C637" s="10"/>
      <c r="D637" s="10"/>
      <c r="E637" s="17"/>
      <c r="F637" s="17"/>
      <c r="G637" s="17"/>
      <c r="H637" s="17"/>
      <c r="I637" s="17"/>
      <c r="J637" s="11"/>
      <c r="K637" s="11"/>
      <c r="L637" s="11"/>
    </row>
    <row r="638" spans="3:12" x14ac:dyDescent="0.25">
      <c r="C638" s="10"/>
      <c r="D638" s="10"/>
      <c r="E638" s="17"/>
      <c r="F638" s="17"/>
      <c r="G638" s="17"/>
      <c r="H638" s="17"/>
      <c r="I638" s="17"/>
      <c r="J638" s="11"/>
      <c r="K638" s="11"/>
      <c r="L638" s="11"/>
    </row>
    <row r="639" spans="3:12" x14ac:dyDescent="0.25">
      <c r="C639" s="10"/>
      <c r="D639" s="10"/>
      <c r="E639" s="17"/>
      <c r="F639" s="17"/>
      <c r="G639" s="17"/>
      <c r="H639" s="17"/>
      <c r="I639" s="17"/>
      <c r="J639" s="11"/>
      <c r="K639" s="11"/>
      <c r="L639" s="11"/>
    </row>
    <row r="640" spans="3:12" x14ac:dyDescent="0.25">
      <c r="C640" s="10"/>
      <c r="D640" s="10"/>
      <c r="E640" s="17"/>
      <c r="F640" s="17"/>
      <c r="G640" s="17"/>
      <c r="H640" s="17"/>
      <c r="I640" s="17"/>
      <c r="J640" s="11"/>
      <c r="K640" s="11"/>
      <c r="L640" s="11"/>
    </row>
    <row r="641" spans="3:12" x14ac:dyDescent="0.25">
      <c r="C641" s="10"/>
      <c r="D641" s="10"/>
      <c r="E641" s="17"/>
      <c r="F641" s="17"/>
      <c r="G641" s="17"/>
      <c r="H641" s="17"/>
      <c r="I641" s="17"/>
      <c r="J641" s="11"/>
      <c r="K641" s="11"/>
      <c r="L641" s="11"/>
    </row>
    <row r="642" spans="3:12" x14ac:dyDescent="0.25">
      <c r="C642" s="10"/>
      <c r="D642" s="10"/>
      <c r="E642" s="17"/>
      <c r="F642" s="17"/>
      <c r="G642" s="17"/>
      <c r="H642" s="17"/>
      <c r="I642" s="17"/>
      <c r="J642" s="11"/>
      <c r="K642" s="11"/>
      <c r="L642" s="11"/>
    </row>
    <row r="643" spans="3:12" x14ac:dyDescent="0.25">
      <c r="C643" s="10"/>
      <c r="D643" s="10"/>
      <c r="E643" s="17"/>
      <c r="F643" s="17"/>
      <c r="G643" s="17"/>
      <c r="H643" s="17"/>
      <c r="I643" s="17"/>
      <c r="J643" s="11"/>
      <c r="K643" s="11"/>
      <c r="L643" s="11"/>
    </row>
    <row r="644" spans="3:12" x14ac:dyDescent="0.25">
      <c r="C644" s="10"/>
      <c r="D644" s="10"/>
      <c r="E644" s="17"/>
      <c r="F644" s="17"/>
      <c r="G644" s="17"/>
      <c r="H644" s="17"/>
      <c r="I644" s="17"/>
      <c r="J644" s="11"/>
      <c r="K644" s="11"/>
      <c r="L644" s="11"/>
    </row>
    <row r="645" spans="3:12" x14ac:dyDescent="0.25">
      <c r="C645" s="10"/>
      <c r="D645" s="10"/>
      <c r="E645" s="17"/>
      <c r="F645" s="17"/>
      <c r="G645" s="17"/>
      <c r="H645" s="17"/>
      <c r="I645" s="17"/>
      <c r="J645" s="11"/>
      <c r="K645" s="11"/>
      <c r="L645" s="11"/>
    </row>
    <row r="646" spans="3:12" x14ac:dyDescent="0.25">
      <c r="C646" s="10"/>
      <c r="D646" s="10"/>
      <c r="E646" s="17"/>
      <c r="F646" s="17"/>
      <c r="G646" s="17"/>
      <c r="H646" s="17"/>
      <c r="I646" s="17"/>
      <c r="J646" s="11"/>
      <c r="K646" s="11"/>
      <c r="L646" s="11"/>
    </row>
    <row r="647" spans="3:12" x14ac:dyDescent="0.25">
      <c r="C647" s="10"/>
      <c r="D647" s="10"/>
      <c r="E647" s="17"/>
      <c r="F647" s="17"/>
      <c r="G647" s="17"/>
      <c r="H647" s="17"/>
      <c r="I647" s="17"/>
      <c r="J647" s="11"/>
      <c r="K647" s="11"/>
      <c r="L647" s="11"/>
    </row>
    <row r="648" spans="3:12" x14ac:dyDescent="0.25">
      <c r="C648" s="10"/>
      <c r="D648" s="10"/>
      <c r="E648" s="17"/>
      <c r="F648" s="17"/>
      <c r="G648" s="17"/>
      <c r="H648" s="17"/>
      <c r="I648" s="17"/>
      <c r="J648" s="11"/>
      <c r="K648" s="11"/>
      <c r="L648" s="11"/>
    </row>
    <row r="649" spans="3:12" x14ac:dyDescent="0.25">
      <c r="C649" s="10"/>
      <c r="D649" s="10"/>
      <c r="E649" s="17"/>
      <c r="F649" s="17"/>
      <c r="G649" s="17"/>
      <c r="H649" s="17"/>
      <c r="I649" s="17"/>
      <c r="J649" s="11"/>
      <c r="K649" s="11"/>
      <c r="L649" s="11"/>
    </row>
    <row r="650" spans="3:12" x14ac:dyDescent="0.25">
      <c r="C650" s="10"/>
      <c r="D650" s="10"/>
      <c r="E650" s="17"/>
      <c r="F650" s="17"/>
      <c r="G650" s="17"/>
      <c r="H650" s="17"/>
      <c r="I650" s="17"/>
      <c r="J650" s="11"/>
      <c r="K650" s="11"/>
      <c r="L650" s="11"/>
    </row>
    <row r="651" spans="3:12" x14ac:dyDescent="0.25">
      <c r="C651" s="10"/>
      <c r="D651" s="10"/>
      <c r="E651" s="17"/>
      <c r="F651" s="17"/>
      <c r="G651" s="17"/>
      <c r="H651" s="17"/>
      <c r="I651" s="17"/>
      <c r="J651" s="11"/>
      <c r="K651" s="11"/>
      <c r="L651" s="11"/>
    </row>
    <row r="652" spans="3:12" x14ac:dyDescent="0.25">
      <c r="C652" s="10"/>
      <c r="D652" s="10"/>
      <c r="E652" s="17"/>
      <c r="F652" s="17"/>
      <c r="G652" s="17"/>
      <c r="H652" s="17"/>
      <c r="I652" s="17"/>
      <c r="J652" s="11"/>
      <c r="K652" s="11"/>
      <c r="L652" s="11"/>
    </row>
    <row r="653" spans="3:12" x14ac:dyDescent="0.25">
      <c r="C653" s="10"/>
      <c r="D653" s="10"/>
      <c r="E653" s="17"/>
      <c r="F653" s="17"/>
      <c r="G653" s="17"/>
      <c r="H653" s="17"/>
      <c r="I653" s="17"/>
      <c r="J653" s="11"/>
      <c r="K653" s="11"/>
      <c r="L653" s="11"/>
    </row>
    <row r="654" spans="3:12" x14ac:dyDescent="0.25">
      <c r="C654" s="10"/>
      <c r="D654" s="10"/>
      <c r="E654" s="17"/>
      <c r="F654" s="17"/>
      <c r="G654" s="17"/>
      <c r="H654" s="17"/>
      <c r="I654" s="17"/>
      <c r="J654" s="11"/>
      <c r="K654" s="11"/>
      <c r="L654" s="11"/>
    </row>
    <row r="655" spans="3:12" x14ac:dyDescent="0.25">
      <c r="C655" s="10"/>
      <c r="D655" s="10"/>
      <c r="E655" s="17"/>
      <c r="F655" s="17"/>
      <c r="G655" s="17"/>
      <c r="H655" s="17"/>
      <c r="I655" s="17"/>
      <c r="J655" s="11"/>
      <c r="K655" s="11"/>
      <c r="L655" s="11"/>
    </row>
    <row r="656" spans="3:12" x14ac:dyDescent="0.25">
      <c r="C656" s="10"/>
      <c r="D656" s="10"/>
      <c r="E656" s="17"/>
      <c r="F656" s="17"/>
      <c r="G656" s="17"/>
      <c r="H656" s="17"/>
      <c r="I656" s="17"/>
      <c r="J656" s="11"/>
      <c r="K656" s="11"/>
      <c r="L656" s="11"/>
    </row>
    <row r="657" spans="3:12" x14ac:dyDescent="0.25">
      <c r="C657" s="10"/>
      <c r="D657" s="10"/>
      <c r="E657" s="17"/>
      <c r="F657" s="17"/>
      <c r="G657" s="17"/>
      <c r="H657" s="17"/>
      <c r="I657" s="17"/>
      <c r="J657" s="11"/>
      <c r="K657" s="11"/>
      <c r="L657" s="11"/>
    </row>
    <row r="658" spans="3:12" x14ac:dyDescent="0.25">
      <c r="C658" s="10"/>
      <c r="D658" s="10"/>
      <c r="E658" s="17"/>
      <c r="F658" s="17"/>
      <c r="G658" s="17"/>
      <c r="H658" s="17"/>
      <c r="I658" s="17"/>
      <c r="J658" s="11"/>
      <c r="K658" s="11"/>
      <c r="L658" s="11"/>
    </row>
    <row r="659" spans="3:12" x14ac:dyDescent="0.25">
      <c r="C659" s="10"/>
      <c r="D659" s="10"/>
      <c r="E659" s="17"/>
      <c r="F659" s="17"/>
      <c r="G659" s="17"/>
      <c r="H659" s="17"/>
      <c r="I659" s="17"/>
      <c r="J659" s="11"/>
      <c r="K659" s="11"/>
      <c r="L659" s="11"/>
    </row>
    <row r="660" spans="3:12" x14ac:dyDescent="0.25">
      <c r="C660" s="10"/>
      <c r="D660" s="10"/>
      <c r="E660" s="17"/>
      <c r="F660" s="17"/>
      <c r="G660" s="17"/>
      <c r="H660" s="17"/>
      <c r="I660" s="17"/>
      <c r="J660" s="11"/>
      <c r="K660" s="11"/>
      <c r="L660" s="11"/>
    </row>
    <row r="661" spans="3:12" x14ac:dyDescent="0.25">
      <c r="C661" s="10"/>
      <c r="D661" s="10"/>
      <c r="E661" s="17"/>
      <c r="F661" s="17"/>
      <c r="G661" s="17"/>
      <c r="H661" s="17"/>
      <c r="I661" s="17"/>
      <c r="J661" s="11"/>
      <c r="K661" s="11"/>
      <c r="L661" s="11"/>
    </row>
    <row r="662" spans="3:12" x14ac:dyDescent="0.25">
      <c r="C662" s="10"/>
      <c r="D662" s="10"/>
      <c r="E662" s="17"/>
      <c r="F662" s="17"/>
      <c r="G662" s="17"/>
      <c r="H662" s="17"/>
      <c r="I662" s="17"/>
      <c r="J662" s="11"/>
      <c r="K662" s="11"/>
      <c r="L662" s="11"/>
    </row>
    <row r="663" spans="3:12" x14ac:dyDescent="0.25">
      <c r="C663" s="10"/>
      <c r="D663" s="10"/>
      <c r="E663" s="17"/>
      <c r="F663" s="17"/>
      <c r="G663" s="17"/>
      <c r="H663" s="17"/>
      <c r="I663" s="17"/>
      <c r="J663" s="11"/>
      <c r="K663" s="11"/>
      <c r="L663" s="11"/>
    </row>
    <row r="664" spans="3:12" x14ac:dyDescent="0.25">
      <c r="C664" s="10"/>
      <c r="D664" s="10"/>
      <c r="E664" s="17"/>
      <c r="F664" s="17"/>
      <c r="G664" s="17"/>
      <c r="H664" s="17"/>
      <c r="I664" s="17"/>
      <c r="J664" s="11"/>
      <c r="K664" s="11"/>
      <c r="L664" s="11"/>
    </row>
    <row r="665" spans="3:12" x14ac:dyDescent="0.25">
      <c r="C665" s="10"/>
      <c r="D665" s="10"/>
      <c r="E665" s="17"/>
      <c r="F665" s="17"/>
      <c r="G665" s="17"/>
      <c r="H665" s="17"/>
      <c r="I665" s="17"/>
      <c r="J665" s="11"/>
      <c r="K665" s="11"/>
      <c r="L665" s="11"/>
    </row>
    <row r="666" spans="3:12" x14ac:dyDescent="0.25">
      <c r="C666" s="10"/>
      <c r="D666" s="10"/>
      <c r="E666" s="17"/>
      <c r="F666" s="17"/>
      <c r="G666" s="17"/>
      <c r="H666" s="17"/>
      <c r="I666" s="17"/>
      <c r="J666" s="11"/>
      <c r="K666" s="11"/>
      <c r="L666" s="11"/>
    </row>
    <row r="667" spans="3:12" x14ac:dyDescent="0.25">
      <c r="C667" s="10"/>
      <c r="D667" s="10"/>
      <c r="E667" s="17"/>
      <c r="F667" s="17"/>
      <c r="G667" s="17"/>
      <c r="H667" s="17"/>
      <c r="I667" s="17"/>
      <c r="J667" s="11"/>
      <c r="K667" s="11"/>
      <c r="L667" s="11"/>
    </row>
    <row r="668" spans="3:12" x14ac:dyDescent="0.25">
      <c r="C668" s="10"/>
      <c r="D668" s="10"/>
      <c r="E668" s="17"/>
      <c r="F668" s="17"/>
      <c r="G668" s="17"/>
      <c r="H668" s="17"/>
      <c r="I668" s="17"/>
      <c r="J668" s="11"/>
      <c r="K668" s="11"/>
      <c r="L668" s="11"/>
    </row>
    <row r="669" spans="3:12" x14ac:dyDescent="0.25">
      <c r="C669" s="10"/>
      <c r="D669" s="10"/>
      <c r="E669" s="17"/>
      <c r="F669" s="17"/>
      <c r="G669" s="17"/>
      <c r="H669" s="17"/>
      <c r="I669" s="17"/>
      <c r="J669" s="11"/>
      <c r="K669" s="11"/>
      <c r="L669" s="11"/>
    </row>
    <row r="670" spans="3:12" x14ac:dyDescent="0.25">
      <c r="C670" s="10"/>
      <c r="D670" s="10"/>
      <c r="E670" s="17"/>
      <c r="F670" s="17"/>
      <c r="G670" s="17"/>
      <c r="H670" s="17"/>
      <c r="I670" s="17"/>
      <c r="J670" s="11"/>
      <c r="K670" s="11"/>
      <c r="L670" s="11"/>
    </row>
    <row r="671" spans="3:12" x14ac:dyDescent="0.25">
      <c r="C671" s="10"/>
      <c r="D671" s="10"/>
      <c r="E671" s="17"/>
      <c r="F671" s="17"/>
      <c r="G671" s="17"/>
      <c r="H671" s="17"/>
      <c r="I671" s="17"/>
      <c r="J671" s="11"/>
      <c r="K671" s="11"/>
      <c r="L671" s="11"/>
    </row>
    <row r="672" spans="3:12" x14ac:dyDescent="0.25">
      <c r="C672" s="10"/>
      <c r="D672" s="10"/>
      <c r="E672" s="17"/>
      <c r="F672" s="17"/>
      <c r="G672" s="17"/>
      <c r="H672" s="17"/>
      <c r="I672" s="17"/>
      <c r="J672" s="11"/>
      <c r="K672" s="11"/>
      <c r="L672" s="11"/>
    </row>
    <row r="673" spans="3:12" x14ac:dyDescent="0.25">
      <c r="C673" s="10"/>
      <c r="D673" s="10"/>
      <c r="E673" s="17"/>
      <c r="F673" s="17"/>
      <c r="G673" s="17"/>
      <c r="H673" s="17"/>
      <c r="I673" s="17"/>
      <c r="J673" s="11"/>
      <c r="K673" s="11"/>
      <c r="L673" s="11"/>
    </row>
    <row r="674" spans="3:12" x14ac:dyDescent="0.25">
      <c r="C674" s="10"/>
      <c r="D674" s="10"/>
      <c r="E674" s="17"/>
      <c r="F674" s="17"/>
      <c r="G674" s="17"/>
      <c r="H674" s="17"/>
      <c r="I674" s="17"/>
      <c r="J674" s="11"/>
      <c r="K674" s="11"/>
      <c r="L674" s="11"/>
    </row>
    <row r="675" spans="3:12" x14ac:dyDescent="0.25">
      <c r="C675" s="10"/>
      <c r="D675" s="10"/>
      <c r="E675" s="17"/>
      <c r="F675" s="17"/>
      <c r="G675" s="17"/>
      <c r="H675" s="17"/>
      <c r="I675" s="17"/>
      <c r="J675" s="11"/>
      <c r="K675" s="11"/>
      <c r="L675" s="11"/>
    </row>
    <row r="676" spans="3:12" x14ac:dyDescent="0.25">
      <c r="C676" s="10"/>
      <c r="D676" s="10"/>
      <c r="E676" s="17"/>
      <c r="F676" s="17"/>
      <c r="G676" s="17"/>
      <c r="H676" s="17"/>
      <c r="I676" s="17"/>
      <c r="J676" s="11"/>
      <c r="K676" s="11"/>
      <c r="L676" s="11"/>
    </row>
    <row r="677" spans="3:12" x14ac:dyDescent="0.25">
      <c r="C677" s="10"/>
      <c r="D677" s="10"/>
      <c r="E677" s="17"/>
      <c r="F677" s="17"/>
      <c r="G677" s="17"/>
      <c r="H677" s="17"/>
      <c r="I677" s="17"/>
      <c r="J677" s="11"/>
      <c r="K677" s="11"/>
      <c r="L677" s="11"/>
    </row>
    <row r="678" spans="3:12" x14ac:dyDescent="0.25">
      <c r="C678" s="10"/>
      <c r="D678" s="10"/>
      <c r="E678" s="17"/>
      <c r="F678" s="17"/>
      <c r="G678" s="17"/>
      <c r="H678" s="17"/>
      <c r="I678" s="17"/>
      <c r="J678" s="11"/>
      <c r="K678" s="11"/>
      <c r="L678" s="11"/>
    </row>
    <row r="679" spans="3:12" x14ac:dyDescent="0.25">
      <c r="C679" s="10"/>
      <c r="D679" s="10"/>
      <c r="E679" s="17"/>
      <c r="F679" s="17"/>
      <c r="G679" s="17"/>
      <c r="H679" s="17"/>
      <c r="I679" s="17"/>
      <c r="J679" s="11"/>
      <c r="K679" s="11"/>
      <c r="L679" s="11"/>
    </row>
    <row r="680" spans="3:12" x14ac:dyDescent="0.25">
      <c r="C680" s="10"/>
      <c r="D680" s="10"/>
      <c r="E680" s="17"/>
      <c r="F680" s="17"/>
      <c r="G680" s="17"/>
      <c r="H680" s="17"/>
      <c r="I680" s="17"/>
      <c r="J680" s="11"/>
      <c r="K680" s="11"/>
      <c r="L680" s="11"/>
    </row>
    <row r="681" spans="3:12" x14ac:dyDescent="0.25">
      <c r="C681" s="10"/>
      <c r="D681" s="10"/>
      <c r="E681" s="17"/>
      <c r="F681" s="17"/>
      <c r="G681" s="17"/>
      <c r="H681" s="17"/>
      <c r="I681" s="17"/>
      <c r="J681" s="11"/>
      <c r="K681" s="11"/>
      <c r="L681" s="11"/>
    </row>
    <row r="682" spans="3:12" x14ac:dyDescent="0.25">
      <c r="C682" s="10"/>
      <c r="D682" s="10"/>
      <c r="E682" s="17"/>
      <c r="F682" s="17"/>
      <c r="G682" s="17"/>
      <c r="H682" s="17"/>
      <c r="I682" s="17"/>
      <c r="J682" s="11"/>
      <c r="K682" s="11"/>
      <c r="L682" s="11"/>
    </row>
    <row r="683" spans="3:12" x14ac:dyDescent="0.25">
      <c r="C683" s="10"/>
      <c r="D683" s="10"/>
      <c r="E683" s="17"/>
      <c r="F683" s="17"/>
      <c r="G683" s="17"/>
      <c r="H683" s="17"/>
      <c r="I683" s="17"/>
      <c r="J683" s="11"/>
      <c r="K683" s="11"/>
      <c r="L683" s="11"/>
    </row>
    <row r="684" spans="3:12" x14ac:dyDescent="0.25">
      <c r="C684" s="10"/>
      <c r="D684" s="10"/>
      <c r="E684" s="17"/>
      <c r="F684" s="17"/>
      <c r="G684" s="17"/>
      <c r="H684" s="17"/>
      <c r="I684" s="17"/>
      <c r="J684" s="11"/>
      <c r="K684" s="11"/>
      <c r="L684" s="11"/>
    </row>
    <row r="685" spans="3:12" x14ac:dyDescent="0.25">
      <c r="C685" s="10"/>
      <c r="D685" s="10"/>
      <c r="E685" s="17"/>
      <c r="F685" s="17"/>
      <c r="G685" s="17"/>
      <c r="H685" s="17"/>
      <c r="I685" s="17"/>
      <c r="J685" s="11"/>
      <c r="K685" s="11"/>
      <c r="L685" s="11"/>
    </row>
    <row r="686" spans="3:12" x14ac:dyDescent="0.25">
      <c r="C686" s="10"/>
      <c r="D686" s="10"/>
      <c r="E686" s="17"/>
      <c r="F686" s="17"/>
      <c r="G686" s="17"/>
      <c r="H686" s="17"/>
      <c r="I686" s="17"/>
      <c r="J686" s="11"/>
      <c r="K686" s="11"/>
      <c r="L686" s="11"/>
    </row>
    <row r="687" spans="3:12" x14ac:dyDescent="0.25">
      <c r="C687" s="10"/>
      <c r="D687" s="10"/>
      <c r="E687" s="17"/>
      <c r="F687" s="17"/>
      <c r="G687" s="17"/>
      <c r="H687" s="17"/>
      <c r="I687" s="17"/>
      <c r="J687" s="11"/>
      <c r="K687" s="11"/>
      <c r="L687" s="11"/>
    </row>
    <row r="688" spans="3:12" x14ac:dyDescent="0.25">
      <c r="C688" s="10"/>
      <c r="D688" s="10"/>
      <c r="E688" s="17"/>
      <c r="F688" s="17"/>
      <c r="G688" s="17"/>
      <c r="H688" s="17"/>
      <c r="I688" s="17"/>
      <c r="J688" s="11"/>
      <c r="K688" s="11"/>
      <c r="L688" s="11"/>
    </row>
    <row r="689" spans="3:12" x14ac:dyDescent="0.25">
      <c r="C689" s="10"/>
      <c r="D689" s="10"/>
      <c r="E689" s="17"/>
      <c r="F689" s="17"/>
      <c r="G689" s="17"/>
      <c r="H689" s="17"/>
      <c r="I689" s="17"/>
      <c r="J689" s="11"/>
      <c r="K689" s="11"/>
      <c r="L689" s="11"/>
    </row>
    <row r="690" spans="3:12" x14ac:dyDescent="0.25">
      <c r="C690" s="10"/>
      <c r="D690" s="10"/>
      <c r="E690" s="17"/>
      <c r="F690" s="17"/>
      <c r="G690" s="17"/>
      <c r="H690" s="17"/>
      <c r="I690" s="17"/>
      <c r="J690" s="11"/>
      <c r="K690" s="11"/>
      <c r="L690" s="11"/>
    </row>
    <row r="691" spans="3:12" x14ac:dyDescent="0.25">
      <c r="C691" s="10"/>
      <c r="D691" s="10"/>
      <c r="E691" s="17"/>
      <c r="F691" s="17"/>
      <c r="G691" s="17"/>
      <c r="H691" s="17"/>
      <c r="I691" s="17"/>
      <c r="J691" s="11"/>
      <c r="K691" s="11"/>
      <c r="L691" s="11"/>
    </row>
    <row r="692" spans="3:12" x14ac:dyDescent="0.25">
      <c r="C692" s="10"/>
      <c r="D692" s="10"/>
      <c r="E692" s="17"/>
      <c r="F692" s="17"/>
      <c r="G692" s="17"/>
      <c r="H692" s="17"/>
      <c r="I692" s="17"/>
      <c r="J692" s="11"/>
      <c r="K692" s="11"/>
      <c r="L692" s="11"/>
    </row>
    <row r="693" spans="3:12" x14ac:dyDescent="0.25">
      <c r="C693" s="10"/>
      <c r="D693" s="10"/>
      <c r="E693" s="17"/>
      <c r="F693" s="17"/>
      <c r="G693" s="17"/>
      <c r="H693" s="17"/>
      <c r="I693" s="17"/>
      <c r="J693" s="11"/>
      <c r="K693" s="11"/>
      <c r="L693" s="11"/>
    </row>
    <row r="694" spans="3:12" x14ac:dyDescent="0.25">
      <c r="C694" s="10"/>
      <c r="D694" s="10"/>
      <c r="E694" s="17"/>
      <c r="F694" s="17"/>
      <c r="G694" s="17"/>
      <c r="H694" s="17"/>
      <c r="I694" s="17"/>
      <c r="J694" s="11"/>
      <c r="K694" s="11"/>
      <c r="L694" s="11"/>
    </row>
    <row r="695" spans="3:12" x14ac:dyDescent="0.25">
      <c r="C695" s="10"/>
      <c r="D695" s="10"/>
      <c r="E695" s="17"/>
      <c r="F695" s="17"/>
      <c r="G695" s="17"/>
      <c r="H695" s="17"/>
      <c r="I695" s="17"/>
      <c r="J695" s="11"/>
      <c r="K695" s="11"/>
      <c r="L695" s="11"/>
    </row>
    <row r="696" spans="3:12" x14ac:dyDescent="0.25">
      <c r="C696" s="10"/>
      <c r="D696" s="10"/>
      <c r="E696" s="17"/>
      <c r="F696" s="17"/>
      <c r="G696" s="17"/>
      <c r="H696" s="17"/>
      <c r="I696" s="17"/>
      <c r="J696" s="11"/>
      <c r="K696" s="11"/>
      <c r="L696" s="11"/>
    </row>
    <row r="697" spans="3:12" x14ac:dyDescent="0.25">
      <c r="C697" s="10"/>
      <c r="D697" s="10"/>
      <c r="E697" s="17"/>
      <c r="F697" s="17"/>
      <c r="G697" s="17"/>
      <c r="H697" s="17"/>
      <c r="I697" s="17"/>
      <c r="J697" s="11"/>
      <c r="K697" s="11"/>
      <c r="L697" s="11"/>
    </row>
    <row r="698" spans="3:12" x14ac:dyDescent="0.25">
      <c r="C698" s="10"/>
      <c r="D698" s="10"/>
      <c r="E698" s="17"/>
      <c r="F698" s="17"/>
      <c r="G698" s="17"/>
      <c r="H698" s="17"/>
      <c r="I698" s="17"/>
      <c r="J698" s="11"/>
      <c r="K698" s="11"/>
      <c r="L698" s="11"/>
    </row>
    <row r="699" spans="3:12" x14ac:dyDescent="0.25">
      <c r="C699" s="10"/>
      <c r="D699" s="10"/>
      <c r="E699" s="17"/>
      <c r="F699" s="17"/>
      <c r="G699" s="17"/>
      <c r="H699" s="17"/>
      <c r="I699" s="17"/>
      <c r="J699" s="11"/>
      <c r="K699" s="11"/>
      <c r="L699" s="11"/>
    </row>
    <row r="700" spans="3:12" x14ac:dyDescent="0.25">
      <c r="C700" s="10"/>
      <c r="D700" s="10"/>
      <c r="E700" s="17"/>
      <c r="F700" s="17"/>
      <c r="G700" s="17"/>
      <c r="H700" s="17"/>
      <c r="I700" s="17"/>
      <c r="J700" s="11"/>
      <c r="K700" s="11"/>
      <c r="L700" s="11"/>
    </row>
    <row r="701" spans="3:12" x14ac:dyDescent="0.25">
      <c r="C701" s="10"/>
      <c r="D701" s="10"/>
      <c r="E701" s="17"/>
      <c r="F701" s="17"/>
      <c r="G701" s="17"/>
      <c r="H701" s="17"/>
      <c r="I701" s="17"/>
      <c r="J701" s="11"/>
      <c r="K701" s="11"/>
      <c r="L701" s="11"/>
    </row>
    <row r="702" spans="3:12" x14ac:dyDescent="0.25">
      <c r="C702" s="10"/>
      <c r="D702" s="10"/>
      <c r="E702" s="17"/>
      <c r="F702" s="17"/>
      <c r="G702" s="17"/>
      <c r="H702" s="17"/>
      <c r="I702" s="17"/>
      <c r="J702" s="11"/>
      <c r="K702" s="11"/>
      <c r="L702" s="11"/>
    </row>
    <row r="703" spans="3:12" x14ac:dyDescent="0.25">
      <c r="C703" s="10"/>
      <c r="D703" s="10"/>
      <c r="E703" s="17"/>
      <c r="F703" s="17"/>
      <c r="G703" s="17"/>
      <c r="H703" s="17"/>
      <c r="I703" s="17"/>
      <c r="J703" s="11"/>
      <c r="K703" s="11"/>
      <c r="L703" s="11"/>
    </row>
    <row r="704" spans="3:12" x14ac:dyDescent="0.25">
      <c r="C704" s="10"/>
      <c r="D704" s="10"/>
      <c r="E704" s="17"/>
      <c r="F704" s="17"/>
      <c r="G704" s="17"/>
      <c r="H704" s="17"/>
      <c r="I704" s="17"/>
      <c r="J704" s="11"/>
      <c r="K704" s="11"/>
      <c r="L704" s="11"/>
    </row>
    <row r="705" spans="3:12" x14ac:dyDescent="0.25">
      <c r="C705" s="10"/>
      <c r="D705" s="10"/>
      <c r="E705" s="17"/>
      <c r="F705" s="17"/>
      <c r="G705" s="17"/>
      <c r="H705" s="17"/>
      <c r="I705" s="17"/>
      <c r="J705" s="11"/>
      <c r="K705" s="11"/>
      <c r="L705" s="11"/>
    </row>
    <row r="706" spans="3:12" x14ac:dyDescent="0.25">
      <c r="C706" s="10"/>
      <c r="D706" s="10"/>
      <c r="E706" s="17"/>
      <c r="F706" s="17"/>
      <c r="G706" s="17"/>
      <c r="H706" s="17"/>
      <c r="I706" s="17"/>
      <c r="J706" s="11"/>
      <c r="K706" s="11"/>
      <c r="L706" s="11"/>
    </row>
    <row r="707" spans="3:12" x14ac:dyDescent="0.25">
      <c r="C707" s="10"/>
      <c r="D707" s="10"/>
      <c r="E707" s="17"/>
      <c r="F707" s="17"/>
      <c r="G707" s="17"/>
      <c r="H707" s="17"/>
      <c r="I707" s="17"/>
      <c r="J707" s="11"/>
      <c r="K707" s="11"/>
      <c r="L707" s="11"/>
    </row>
    <row r="708" spans="3:12" x14ac:dyDescent="0.25">
      <c r="C708" s="10"/>
      <c r="D708" s="10"/>
      <c r="E708" s="17"/>
      <c r="F708" s="17"/>
      <c r="G708" s="17"/>
      <c r="H708" s="17"/>
      <c r="I708" s="17"/>
      <c r="J708" s="11"/>
      <c r="K708" s="11"/>
      <c r="L708" s="11"/>
    </row>
    <row r="709" spans="3:12" x14ac:dyDescent="0.25">
      <c r="C709" s="10"/>
      <c r="D709" s="10"/>
      <c r="E709" s="17"/>
      <c r="F709" s="17"/>
      <c r="G709" s="17"/>
      <c r="H709" s="17"/>
      <c r="I709" s="17"/>
      <c r="J709" s="11"/>
      <c r="K709" s="11"/>
      <c r="L709" s="11"/>
    </row>
    <row r="710" spans="3:12" x14ac:dyDescent="0.25">
      <c r="C710" s="10"/>
      <c r="D710" s="10"/>
      <c r="E710" s="17"/>
      <c r="F710" s="17"/>
      <c r="G710" s="17"/>
      <c r="H710" s="17"/>
      <c r="I710" s="17"/>
      <c r="J710" s="11"/>
      <c r="K710" s="11"/>
      <c r="L710" s="11"/>
    </row>
    <row r="711" spans="3:12" x14ac:dyDescent="0.25">
      <c r="C711" s="10"/>
      <c r="D711" s="10"/>
      <c r="E711" s="17"/>
      <c r="G711" s="17"/>
      <c r="H711" s="17"/>
      <c r="I711" s="17"/>
      <c r="J711" s="11"/>
      <c r="K711" s="11"/>
      <c r="L711" s="11"/>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95A3BCA7-DE5B-4E0F-A40B-BC5627772B1C}">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92EB2BEE-ED4D-4C8A-8B44-43009E3ABBEC}">
  <ds:schemaRefs>
    <ds:schemaRef ds:uri="http://schemas.microsoft.com/DataMashup"/>
  </ds:schemaRefs>
</ds:datastoreItem>
</file>

<file path=customXml/itemProps3.xml><?xml version="1.0" encoding="utf-8"?>
<ds:datastoreItem xmlns:ds="http://schemas.openxmlformats.org/officeDocument/2006/customXml" ds:itemID="{DB4453B2-D659-4217-A6AE-B879058F4FC1}">
  <ds:schemaRefs>
    <ds:schemaRef ds:uri="http://www.w3.org/2001/XMLSchema"/>
    <ds:schemaRef ds:uri="http://microsoft.data.visualization.Client.Excel.CustomMapList/1.0"/>
  </ds:schemaRefs>
</ds:datastoreItem>
</file>

<file path=customXml/itemProps4.xml><?xml version="1.0" encoding="utf-8"?>
<ds:datastoreItem xmlns:ds="http://schemas.openxmlformats.org/officeDocument/2006/customXml" ds:itemID="{376113F2-584C-47F1-9418-3278B339EDD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BS 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Brendan Burke</dc:creator>
  <cp:lastModifiedBy>Burke, Brendan L.</cp:lastModifiedBy>
  <cp:lastPrinted>2025-06-23T12:35:56Z</cp:lastPrinted>
  <dcterms:created xsi:type="dcterms:W3CDTF">2025-06-18T21:40:34Z</dcterms:created>
  <dcterms:modified xsi:type="dcterms:W3CDTF">2025-06-27T15:07:55Z</dcterms:modified>
</cp:coreProperties>
</file>